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filterPrivacy="1"/>
  <xr:revisionPtr revIDLastSave="0" documentId="13_ncr:1_{8A3278E2-D057-5C4C-BBE9-43026F0431E4}" xr6:coauthVersionLast="47" xr6:coauthVersionMax="47" xr10:uidLastSave="{00000000-0000-0000-0000-000000000000}"/>
  <bookViews>
    <workbookView xWindow="0" yWindow="500" windowWidth="28800" windowHeight="16320" activeTab="8" xr2:uid="{00000000-000D-0000-FFFF-FFFF00000000}"/>
  </bookViews>
  <sheets>
    <sheet name="Key Stats" sheetId="1" r:id="rId1"/>
    <sheet name="IS" sheetId="2" r:id="rId2"/>
    <sheet name="BS" sheetId="3" r:id="rId3"/>
    <sheet name="CF" sheetId="4" r:id="rId4"/>
    <sheet name="beta" sheetId="14" r:id="rId5"/>
    <sheet name="WACC" sheetId="15" r:id="rId6"/>
    <sheet name="Segment_Q" sheetId="16" r:id="rId7"/>
    <sheet name="Segment_A" sheetId="17" r:id="rId8"/>
    <sheet name="DCF" sheetId="20" r:id="rId9"/>
    <sheet name="Multiple Analysis" sheetId="22" r:id="rId10"/>
    <sheet name="Geo_Segments" sheetId="13" r:id="rId11"/>
  </sheets>
  <externalReferences>
    <externalReference r:id="rId12"/>
  </externalReferences>
  <definedNames>
    <definedName name="_xlnm.Print_Titles" localSheetId="2">BS!$1:$3</definedName>
    <definedName name="_xlnm.Print_Titles" localSheetId="3">CF!$1:$3</definedName>
    <definedName name="_xlnm.Print_Titles" localSheetId="10">Geo_Segments!$1:$3</definedName>
    <definedName name="_xlnm.Print_Titles" localSheetId="1">IS!$1:$3</definedName>
    <definedName name="_xlnm.Print_Titles" localSheetId="0">'Key Stats'!$1:$3</definedName>
  </definedNames>
  <calcPr calcId="191029" iterateDelta="9.9999999999994451E-4"/>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43" i="22" l="1"/>
  <c r="C43" i="22"/>
  <c r="B43" i="22"/>
  <c r="B94" i="1"/>
  <c r="AM17" i="16"/>
  <c r="F36" i="20"/>
  <c r="E36" i="20" s="1"/>
  <c r="D36" i="20" s="1"/>
  <c r="C36" i="20" s="1"/>
  <c r="G36" i="20"/>
  <c r="H36" i="20" s="1"/>
  <c r="I36" i="20" s="1"/>
  <c r="B39" i="20"/>
  <c r="B38" i="20" s="1"/>
  <c r="B37" i="20" s="1"/>
  <c r="B41" i="20"/>
  <c r="B42" i="20" s="1"/>
  <c r="B43" i="20" s="1"/>
  <c r="B31" i="20"/>
  <c r="B29" i="20"/>
  <c r="B28" i="20"/>
  <c r="K23" i="20"/>
  <c r="J23" i="20"/>
  <c r="D21" i="20"/>
  <c r="E21" i="20" s="1"/>
  <c r="F21" i="20" s="1"/>
  <c r="G21" i="20" s="1"/>
  <c r="H21" i="20" s="1"/>
  <c r="R13" i="20"/>
  <c r="B12" i="20" s="1"/>
  <c r="Q13" i="20"/>
  <c r="P13" i="20"/>
  <c r="O13" i="20"/>
  <c r="N13" i="20"/>
  <c r="R12" i="20"/>
  <c r="Q12" i="20"/>
  <c r="P12" i="20"/>
  <c r="O12" i="20"/>
  <c r="N12" i="20"/>
  <c r="J10" i="20"/>
  <c r="R8" i="20"/>
  <c r="R9" i="20" s="1"/>
  <c r="Q8" i="20"/>
  <c r="P8" i="20"/>
  <c r="O8" i="20"/>
  <c r="N8" i="20"/>
  <c r="R7" i="20"/>
  <c r="Q7" i="20"/>
  <c r="P7" i="20"/>
  <c r="O7" i="20"/>
  <c r="N7" i="20"/>
  <c r="J6" i="20"/>
  <c r="R3" i="20"/>
  <c r="Q3" i="20"/>
  <c r="P3" i="20"/>
  <c r="O3" i="20"/>
  <c r="N3" i="20"/>
  <c r="J3" i="20"/>
  <c r="R2" i="20"/>
  <c r="Q2" i="20"/>
  <c r="P2" i="20"/>
  <c r="O2" i="20"/>
  <c r="N2" i="20"/>
  <c r="J2" i="20"/>
  <c r="AM3" i="16"/>
  <c r="AM2" i="16" s="1"/>
  <c r="Q18" i="3"/>
  <c r="AJ43" i="16"/>
  <c r="AJ42" i="16"/>
  <c r="AL42" i="16"/>
  <c r="AI42" i="16"/>
  <c r="B10" i="15"/>
  <c r="O181" i="3"/>
  <c r="N181" i="3"/>
  <c r="O106" i="2"/>
  <c r="Q20" i="3"/>
  <c r="C135" i="3"/>
  <c r="D135" i="3"/>
  <c r="E135" i="3"/>
  <c r="F135" i="3"/>
  <c r="G135" i="3"/>
  <c r="H135" i="3"/>
  <c r="I135" i="3"/>
  <c r="J135" i="3"/>
  <c r="K135" i="3"/>
  <c r="L135" i="3"/>
  <c r="P53" i="2"/>
  <c r="O53" i="2"/>
  <c r="C53" i="2"/>
  <c r="D53" i="2"/>
  <c r="E53" i="2"/>
  <c r="F53" i="2"/>
  <c r="G53" i="2"/>
  <c r="H53" i="2"/>
  <c r="I53" i="2"/>
  <c r="J53" i="2"/>
  <c r="K53" i="2"/>
  <c r="L53" i="2"/>
  <c r="B53" i="2"/>
  <c r="F33" i="2"/>
  <c r="F34" i="2"/>
  <c r="H33" i="2"/>
  <c r="I33" i="2"/>
  <c r="J33" i="2"/>
  <c r="K33" i="2"/>
  <c r="L33" i="2"/>
  <c r="H34" i="2"/>
  <c r="I34" i="2"/>
  <c r="J34" i="2"/>
  <c r="K34" i="2"/>
  <c r="L34" i="2"/>
  <c r="G34" i="2"/>
  <c r="G33" i="2"/>
  <c r="R11" i="17"/>
  <c r="S11" i="17"/>
  <c r="T11" i="17"/>
  <c r="R12" i="17"/>
  <c r="S12" i="17"/>
  <c r="T12" i="17"/>
  <c r="R13" i="17"/>
  <c r="S13" i="17"/>
  <c r="T13" i="17"/>
  <c r="R14" i="17"/>
  <c r="S14" i="17"/>
  <c r="T14" i="17"/>
  <c r="R15" i="17"/>
  <c r="S15" i="17"/>
  <c r="T15" i="17"/>
  <c r="Q12" i="17"/>
  <c r="Q13" i="17"/>
  <c r="Q14" i="17"/>
  <c r="Q15" i="17"/>
  <c r="Q11" i="17"/>
  <c r="AP39" i="16"/>
  <c r="AN39" i="16"/>
  <c r="AO39" i="16"/>
  <c r="AM39" i="16"/>
  <c r="AL24" i="16"/>
  <c r="AL19" i="16"/>
  <c r="AL14" i="16"/>
  <c r="AL8" i="16"/>
  <c r="AL9" i="16"/>
  <c r="AL4" i="16"/>
  <c r="AJ24" i="16"/>
  <c r="AK24" i="16"/>
  <c r="AL32" i="16"/>
  <c r="C84" i="2"/>
  <c r="D84" i="2"/>
  <c r="E84" i="2"/>
  <c r="F84" i="2"/>
  <c r="G84" i="2"/>
  <c r="H84" i="2"/>
  <c r="I84" i="2"/>
  <c r="J84" i="2"/>
  <c r="K84" i="2"/>
  <c r="L84" i="2"/>
  <c r="M84" i="2"/>
  <c r="C85" i="2"/>
  <c r="D85" i="2"/>
  <c r="E85" i="2"/>
  <c r="F85" i="2"/>
  <c r="G85" i="2"/>
  <c r="H85" i="2"/>
  <c r="I85" i="2"/>
  <c r="J85" i="2"/>
  <c r="K85" i="2"/>
  <c r="L85" i="2"/>
  <c r="M85" i="2"/>
  <c r="B85" i="2"/>
  <c r="B84" i="2"/>
  <c r="Q19" i="3"/>
  <c r="B9" i="15"/>
  <c r="B13" i="15" s="1"/>
  <c r="AK22" i="16"/>
  <c r="AK23" i="16" s="1"/>
  <c r="AK17" i="16"/>
  <c r="AK19" i="16" s="1"/>
  <c r="AK12" i="16"/>
  <c r="AL13" i="16" s="1"/>
  <c r="AK7" i="16"/>
  <c r="AK8" i="16" s="1"/>
  <c r="AK2" i="16"/>
  <c r="AL3" i="16" s="1"/>
  <c r="N14" i="17"/>
  <c r="N12" i="17"/>
  <c r="AJ19" i="16"/>
  <c r="AJ18" i="16"/>
  <c r="AN18" i="16" s="1"/>
  <c r="AR18" i="16" s="1"/>
  <c r="AJ13" i="16"/>
  <c r="AN13" i="16" s="1"/>
  <c r="AR13" i="16" s="1"/>
  <c r="AJ8" i="16"/>
  <c r="AN8" i="16" s="1"/>
  <c r="AR8" i="16" s="1"/>
  <c r="AJ3" i="16"/>
  <c r="AN3" i="16" s="1"/>
  <c r="AR3" i="16" s="1"/>
  <c r="H17" i="17"/>
  <c r="G17" i="17"/>
  <c r="F17" i="17"/>
  <c r="E17" i="17"/>
  <c r="G16" i="17"/>
  <c r="F16" i="17"/>
  <c r="E16" i="17"/>
  <c r="N15" i="17"/>
  <c r="M15" i="17"/>
  <c r="L15" i="17"/>
  <c r="K15" i="17"/>
  <c r="J15" i="17"/>
  <c r="I15" i="17"/>
  <c r="H15" i="17"/>
  <c r="G15" i="17"/>
  <c r="F15" i="17"/>
  <c r="E15" i="17"/>
  <c r="D15" i="17"/>
  <c r="C15" i="17"/>
  <c r="L14" i="17"/>
  <c r="K14" i="17"/>
  <c r="J14" i="17"/>
  <c r="I14" i="17"/>
  <c r="M13" i="17"/>
  <c r="L13" i="17"/>
  <c r="K13" i="17"/>
  <c r="J13" i="17"/>
  <c r="I13" i="17"/>
  <c r="H13" i="17"/>
  <c r="G13" i="17"/>
  <c r="F13" i="17"/>
  <c r="E13" i="17"/>
  <c r="D13" i="17"/>
  <c r="C13" i="17"/>
  <c r="L12" i="17"/>
  <c r="K12" i="17"/>
  <c r="J12" i="17"/>
  <c r="I12" i="17"/>
  <c r="H12" i="17"/>
  <c r="G12" i="17"/>
  <c r="F12" i="17"/>
  <c r="E12" i="17"/>
  <c r="D12" i="17"/>
  <c r="C12" i="17"/>
  <c r="N11" i="17"/>
  <c r="M11" i="17"/>
  <c r="L11" i="17"/>
  <c r="K11" i="17"/>
  <c r="J11" i="17"/>
  <c r="I11" i="17"/>
  <c r="H11" i="17"/>
  <c r="G11" i="17"/>
  <c r="F11" i="17"/>
  <c r="E11" i="17"/>
  <c r="D11" i="17"/>
  <c r="C11" i="17"/>
  <c r="L8" i="17"/>
  <c r="L17" i="17" s="1"/>
  <c r="K8" i="17"/>
  <c r="K17" i="17" s="1"/>
  <c r="J8" i="17"/>
  <c r="J17" i="17" s="1"/>
  <c r="I8" i="17"/>
  <c r="I17" i="17" s="1"/>
  <c r="H8" i="17"/>
  <c r="G8" i="17"/>
  <c r="F8" i="17"/>
  <c r="E8" i="17"/>
  <c r="D8" i="17"/>
  <c r="B8" i="17"/>
  <c r="C7" i="17"/>
  <c r="D16" i="17" s="1"/>
  <c r="B7" i="17"/>
  <c r="M14" i="17"/>
  <c r="N13" i="17"/>
  <c r="M12" i="17"/>
  <c r="M8" i="17"/>
  <c r="M17" i="17" s="1"/>
  <c r="AI32" i="16"/>
  <c r="AI20" i="16" s="1"/>
  <c r="AH32" i="16"/>
  <c r="AH25" i="16" s="1"/>
  <c r="AG32" i="16"/>
  <c r="AG10" i="16" s="1"/>
  <c r="AF32" i="16"/>
  <c r="AF5" i="16" s="1"/>
  <c r="AE32" i="16"/>
  <c r="AE33" i="16" s="1"/>
  <c r="AD32" i="16"/>
  <c r="AB32" i="16"/>
  <c r="AB25" i="16" s="1"/>
  <c r="AA32" i="16"/>
  <c r="Z32" i="16"/>
  <c r="Z25" i="16" s="1"/>
  <c r="X32" i="16"/>
  <c r="X15" i="16" s="1"/>
  <c r="W32" i="16"/>
  <c r="W15" i="16" s="1"/>
  <c r="V32" i="16"/>
  <c r="V15" i="16" s="1"/>
  <c r="T32" i="16"/>
  <c r="T10" i="16" s="1"/>
  <c r="S32" i="16"/>
  <c r="R32" i="16"/>
  <c r="R25" i="16" s="1"/>
  <c r="P32" i="16"/>
  <c r="P10" i="16" s="1"/>
  <c r="O32" i="16"/>
  <c r="O20" i="16" s="1"/>
  <c r="N32" i="16"/>
  <c r="N25" i="16" s="1"/>
  <c r="M32" i="16"/>
  <c r="L32" i="16"/>
  <c r="L25" i="16" s="1"/>
  <c r="K32" i="16"/>
  <c r="K30" i="16" s="1"/>
  <c r="J32" i="16"/>
  <c r="J25" i="16" s="1"/>
  <c r="H32" i="16"/>
  <c r="H30" i="16" s="1"/>
  <c r="G32" i="16"/>
  <c r="G25" i="16" s="1"/>
  <c r="F32" i="16"/>
  <c r="F25" i="16" s="1"/>
  <c r="D32" i="16"/>
  <c r="D30" i="16" s="1"/>
  <c r="C32" i="16"/>
  <c r="C30" i="16" s="1"/>
  <c r="B32" i="16"/>
  <c r="B25" i="16" s="1"/>
  <c r="L30" i="16"/>
  <c r="L29" i="16"/>
  <c r="K29" i="16"/>
  <c r="J29" i="16"/>
  <c r="H29" i="16"/>
  <c r="G29" i="16"/>
  <c r="F29" i="16"/>
  <c r="L28" i="16"/>
  <c r="K28" i="16"/>
  <c r="H28" i="16"/>
  <c r="G28" i="16"/>
  <c r="D28" i="16"/>
  <c r="C28" i="16"/>
  <c r="I27" i="16"/>
  <c r="J28" i="16" s="1"/>
  <c r="E27" i="16"/>
  <c r="E28" i="16" s="1"/>
  <c r="AF25" i="16"/>
  <c r="X25" i="16"/>
  <c r="S25" i="16"/>
  <c r="AI24" i="16"/>
  <c r="AH24" i="16"/>
  <c r="AF24" i="16"/>
  <c r="AE24" i="16"/>
  <c r="AD24" i="16"/>
  <c r="AB24" i="16"/>
  <c r="AA24" i="16"/>
  <c r="Z24" i="16"/>
  <c r="X24" i="16"/>
  <c r="W24" i="16"/>
  <c r="V24" i="16"/>
  <c r="T24" i="16"/>
  <c r="S24" i="16"/>
  <c r="R24" i="16"/>
  <c r="L24" i="16"/>
  <c r="K24" i="16"/>
  <c r="J24" i="16"/>
  <c r="H24" i="16"/>
  <c r="G24" i="16"/>
  <c r="F24" i="16"/>
  <c r="AI23" i="16"/>
  <c r="AM23" i="16" s="1"/>
  <c r="AQ23" i="16" s="1"/>
  <c r="AH23" i="16"/>
  <c r="AG23" i="16"/>
  <c r="AF23" i="16"/>
  <c r="AE23" i="16"/>
  <c r="AB23" i="16"/>
  <c r="AA23" i="16"/>
  <c r="X23" i="16"/>
  <c r="W23" i="16"/>
  <c r="T23" i="16"/>
  <c r="S23" i="16"/>
  <c r="P23" i="16"/>
  <c r="O23" i="16"/>
  <c r="L23" i="16"/>
  <c r="K23" i="16"/>
  <c r="H23" i="16"/>
  <c r="G23" i="16"/>
  <c r="D23" i="16"/>
  <c r="C23" i="16"/>
  <c r="AJ23" i="16"/>
  <c r="AN23" i="16" s="1"/>
  <c r="AR23" i="16" s="1"/>
  <c r="AC22" i="16"/>
  <c r="Y22" i="16"/>
  <c r="Z23" i="16" s="1"/>
  <c r="U22" i="16"/>
  <c r="V23" i="16" s="1"/>
  <c r="Q22" i="16"/>
  <c r="R23" i="16" s="1"/>
  <c r="M22" i="16"/>
  <c r="M23" i="16" s="1"/>
  <c r="I22" i="16"/>
  <c r="E22" i="16"/>
  <c r="F23" i="16" s="1"/>
  <c r="AD20" i="16"/>
  <c r="AB20" i="16"/>
  <c r="S20" i="16"/>
  <c r="AI19" i="16"/>
  <c r="AH19" i="16"/>
  <c r="AF19" i="16"/>
  <c r="AE19" i="16"/>
  <c r="AD19" i="16"/>
  <c r="AB19" i="16"/>
  <c r="AA19" i="16"/>
  <c r="Z19" i="16"/>
  <c r="X19" i="16"/>
  <c r="W19" i="16"/>
  <c r="V19" i="16"/>
  <c r="T19" i="16"/>
  <c r="S19" i="16"/>
  <c r="R19" i="16"/>
  <c r="AI18" i="16"/>
  <c r="AM18" i="16" s="1"/>
  <c r="AQ18" i="16" s="1"/>
  <c r="AH18" i="16"/>
  <c r="AG18" i="16"/>
  <c r="AF18" i="16"/>
  <c r="AE18" i="16"/>
  <c r="AB18" i="16"/>
  <c r="AA18" i="16"/>
  <c r="X18" i="16"/>
  <c r="W18" i="16"/>
  <c r="T18" i="16"/>
  <c r="S18" i="16"/>
  <c r="P18" i="16"/>
  <c r="O18" i="16"/>
  <c r="AC17" i="16"/>
  <c r="Y17" i="16"/>
  <c r="Y18" i="16" s="1"/>
  <c r="U17" i="16"/>
  <c r="V18" i="16" s="1"/>
  <c r="Q17" i="16"/>
  <c r="AI15" i="16"/>
  <c r="AD15" i="16"/>
  <c r="S15" i="16"/>
  <c r="P15" i="16"/>
  <c r="O15" i="16"/>
  <c r="N15" i="16"/>
  <c r="F15" i="16"/>
  <c r="D15" i="16"/>
  <c r="AI14" i="16"/>
  <c r="AH14" i="16"/>
  <c r="AF14" i="16"/>
  <c r="AE14" i="16"/>
  <c r="AD14" i="16"/>
  <c r="AB14" i="16"/>
  <c r="AA14" i="16"/>
  <c r="Z14" i="16"/>
  <c r="X14" i="16"/>
  <c r="W14" i="16"/>
  <c r="V14" i="16"/>
  <c r="T14" i="16"/>
  <c r="S14" i="16"/>
  <c r="R14" i="16"/>
  <c r="L14" i="16"/>
  <c r="K14" i="16"/>
  <c r="J14" i="16"/>
  <c r="H14" i="16"/>
  <c r="G14" i="16"/>
  <c r="F14" i="16"/>
  <c r="AI13" i="16"/>
  <c r="AM13" i="16" s="1"/>
  <c r="AQ13" i="16" s="1"/>
  <c r="AH13" i="16"/>
  <c r="AG13" i="16"/>
  <c r="AF13" i="16"/>
  <c r="AE13" i="16"/>
  <c r="AB13" i="16"/>
  <c r="AA13" i="16"/>
  <c r="X13" i="16"/>
  <c r="W13" i="16"/>
  <c r="T13" i="16"/>
  <c r="S13" i="16"/>
  <c r="P13" i="16"/>
  <c r="O13" i="16"/>
  <c r="L13" i="16"/>
  <c r="K13" i="16"/>
  <c r="H13" i="16"/>
  <c r="G13" i="16"/>
  <c r="D13" i="16"/>
  <c r="C13" i="16"/>
  <c r="AC12" i="16"/>
  <c r="Y12" i="16"/>
  <c r="Z13" i="16" s="1"/>
  <c r="U12" i="16"/>
  <c r="V13" i="16" s="1"/>
  <c r="Q12" i="16"/>
  <c r="M12" i="16"/>
  <c r="M13" i="16" s="1"/>
  <c r="I12" i="16"/>
  <c r="J13" i="16" s="1"/>
  <c r="E12" i="16"/>
  <c r="F13" i="16" s="1"/>
  <c r="AI10" i="16"/>
  <c r="AD10" i="16"/>
  <c r="Z10" i="16"/>
  <c r="X10" i="16"/>
  <c r="S10" i="16"/>
  <c r="O10" i="16"/>
  <c r="J10" i="16"/>
  <c r="F10" i="16"/>
  <c r="AI9" i="16"/>
  <c r="AH9" i="16"/>
  <c r="AF9" i="16"/>
  <c r="AE9" i="16"/>
  <c r="AD9" i="16"/>
  <c r="AB9" i="16"/>
  <c r="AA9" i="16"/>
  <c r="Z9" i="16"/>
  <c r="X9" i="16"/>
  <c r="W9" i="16"/>
  <c r="V9" i="16"/>
  <c r="T9" i="16"/>
  <c r="S9" i="16"/>
  <c r="R9" i="16"/>
  <c r="L9" i="16"/>
  <c r="K9" i="16"/>
  <c r="J9" i="16"/>
  <c r="H9" i="16"/>
  <c r="G9" i="16"/>
  <c r="F9" i="16"/>
  <c r="AI8" i="16"/>
  <c r="AM8" i="16" s="1"/>
  <c r="AH8" i="16"/>
  <c r="AG8" i="16"/>
  <c r="AF8" i="16"/>
  <c r="AE8" i="16"/>
  <c r="AB8" i="16"/>
  <c r="AA8" i="16"/>
  <c r="X8" i="16"/>
  <c r="W8" i="16"/>
  <c r="T8" i="16"/>
  <c r="S8" i="16"/>
  <c r="P8" i="16"/>
  <c r="O8" i="16"/>
  <c r="L8" i="16"/>
  <c r="K8" i="16"/>
  <c r="H8" i="16"/>
  <c r="G8" i="16"/>
  <c r="D8" i="16"/>
  <c r="C8" i="16"/>
  <c r="AC7" i="16"/>
  <c r="Y7" i="16"/>
  <c r="Z8" i="16" s="1"/>
  <c r="U7" i="16"/>
  <c r="V8" i="16" s="1"/>
  <c r="Q7" i="16"/>
  <c r="M7" i="16"/>
  <c r="M10" i="16" s="1"/>
  <c r="I7" i="16"/>
  <c r="E7" i="16"/>
  <c r="F8" i="16" s="1"/>
  <c r="AI5" i="16"/>
  <c r="AD5" i="16"/>
  <c r="AB5" i="16"/>
  <c r="X5" i="16"/>
  <c r="W5" i="16"/>
  <c r="S5" i="16"/>
  <c r="O5" i="16"/>
  <c r="F5" i="16"/>
  <c r="C5" i="16"/>
  <c r="AI4" i="16"/>
  <c r="AH4" i="16"/>
  <c r="AF4" i="16"/>
  <c r="AE4" i="16"/>
  <c r="AD4" i="16"/>
  <c r="AB4" i="16"/>
  <c r="AA4" i="16"/>
  <c r="Z4" i="16"/>
  <c r="X4" i="16"/>
  <c r="W4" i="16"/>
  <c r="V4" i="16"/>
  <c r="T4" i="16"/>
  <c r="S4" i="16"/>
  <c r="R4" i="16"/>
  <c r="L4" i="16"/>
  <c r="K4" i="16"/>
  <c r="J4" i="16"/>
  <c r="H4" i="16"/>
  <c r="G4" i="16"/>
  <c r="F4" i="16"/>
  <c r="AI3" i="16"/>
  <c r="AQ3" i="16" s="1"/>
  <c r="AH3" i="16"/>
  <c r="AG3" i="16"/>
  <c r="AF3" i="16"/>
  <c r="AE3" i="16"/>
  <c r="AB3" i="16"/>
  <c r="AA3" i="16"/>
  <c r="X3" i="16"/>
  <c r="W3" i="16"/>
  <c r="T3" i="16"/>
  <c r="S3" i="16"/>
  <c r="P3" i="16"/>
  <c r="O3" i="16"/>
  <c r="L3" i="16"/>
  <c r="K3" i="16"/>
  <c r="H3" i="16"/>
  <c r="G3" i="16"/>
  <c r="D3" i="16"/>
  <c r="C3" i="16"/>
  <c r="AC2" i="16"/>
  <c r="Y2" i="16"/>
  <c r="Z3" i="16" s="1"/>
  <c r="U2" i="16"/>
  <c r="U3" i="16" s="1"/>
  <c r="Q2" i="16"/>
  <c r="R3" i="16" s="1"/>
  <c r="M2" i="16"/>
  <c r="I2" i="16"/>
  <c r="J3" i="16" s="1"/>
  <c r="E2" i="16"/>
  <c r="AQ8" i="16" l="1"/>
  <c r="AM7" i="16"/>
  <c r="AK3" i="16"/>
  <c r="AL18" i="16"/>
  <c r="AK42" i="16"/>
  <c r="AP13" i="16"/>
  <c r="AB15" i="16"/>
  <c r="AL34" i="16"/>
  <c r="AL23" i="16"/>
  <c r="AN2" i="16"/>
  <c r="AN4" i="16" s="1"/>
  <c r="R4" i="20"/>
  <c r="R14" i="20"/>
  <c r="N14" i="20"/>
  <c r="O9" i="20"/>
  <c r="Q4" i="20"/>
  <c r="N4" i="20"/>
  <c r="P9" i="20"/>
  <c r="O14" i="20"/>
  <c r="O4" i="20"/>
  <c r="P4" i="20"/>
  <c r="N9" i="20"/>
  <c r="P14" i="20"/>
  <c r="Q14" i="20"/>
  <c r="Q9" i="20"/>
  <c r="AM4" i="16"/>
  <c r="AM19" i="16"/>
  <c r="AN17" i="16"/>
  <c r="AN19" i="16" s="1"/>
  <c r="B12" i="15"/>
  <c r="O33" i="2"/>
  <c r="O34" i="2"/>
  <c r="O85" i="2"/>
  <c r="O84" i="2"/>
  <c r="B15" i="15" s="1"/>
  <c r="AK13" i="16"/>
  <c r="AL20" i="16"/>
  <c r="AL5" i="16"/>
  <c r="AL15" i="16"/>
  <c r="AM22" i="16"/>
  <c r="AM12" i="16"/>
  <c r="AL25" i="16"/>
  <c r="AL10" i="16"/>
  <c r="V5" i="16"/>
  <c r="V10" i="16"/>
  <c r="W20" i="16"/>
  <c r="U4" i="16"/>
  <c r="W10" i="16"/>
  <c r="X20" i="16"/>
  <c r="V20" i="16"/>
  <c r="D5" i="16"/>
  <c r="D10" i="16"/>
  <c r="L15" i="16"/>
  <c r="L10" i="16"/>
  <c r="AF15" i="16"/>
  <c r="I9" i="16"/>
  <c r="N10" i="16"/>
  <c r="AF10" i="16"/>
  <c r="N20" i="16"/>
  <c r="AF20" i="16"/>
  <c r="AA34" i="16"/>
  <c r="K10" i="16"/>
  <c r="M5" i="16"/>
  <c r="L5" i="16"/>
  <c r="N5" i="16"/>
  <c r="B10" i="16"/>
  <c r="D25" i="16"/>
  <c r="C10" i="16"/>
  <c r="AH10" i="16"/>
  <c r="G15" i="16"/>
  <c r="Z18" i="16"/>
  <c r="P20" i="16"/>
  <c r="P25" i="16"/>
  <c r="P5" i="16"/>
  <c r="AA10" i="16"/>
  <c r="AA15" i="16"/>
  <c r="AC19" i="16"/>
  <c r="I24" i="16"/>
  <c r="Q23" i="16"/>
  <c r="G5" i="16"/>
  <c r="G10" i="16"/>
  <c r="AA20" i="16"/>
  <c r="AA5" i="16"/>
  <c r="U9" i="16"/>
  <c r="I8" i="16"/>
  <c r="AE5" i="16"/>
  <c r="Y8" i="16"/>
  <c r="AE15" i="16"/>
  <c r="AE20" i="16"/>
  <c r="T25" i="16"/>
  <c r="F28" i="16"/>
  <c r="I29" i="16"/>
  <c r="M17" i="16"/>
  <c r="AC9" i="16"/>
  <c r="R10" i="16"/>
  <c r="AB10" i="16"/>
  <c r="T15" i="16"/>
  <c r="AD18" i="16"/>
  <c r="T20" i="16"/>
  <c r="AC24" i="16"/>
  <c r="Y3" i="16"/>
  <c r="T5" i="16"/>
  <c r="AC4" i="16"/>
  <c r="H5" i="16"/>
  <c r="H10" i="16"/>
  <c r="H15" i="16"/>
  <c r="AI34" i="16"/>
  <c r="K5" i="16"/>
  <c r="Q8" i="16"/>
  <c r="AE10" i="16"/>
  <c r="Q32" i="16"/>
  <c r="Q33" i="16" s="1"/>
  <c r="K15" i="16"/>
  <c r="T34" i="16"/>
  <c r="K25" i="16"/>
  <c r="F30" i="16"/>
  <c r="S34" i="16"/>
  <c r="AD34" i="16"/>
  <c r="AG4" i="16"/>
  <c r="C15" i="16"/>
  <c r="Y4" i="16"/>
  <c r="AC14" i="16"/>
  <c r="AG19" i="16"/>
  <c r="V34" i="16"/>
  <c r="C25" i="16"/>
  <c r="W34" i="16"/>
  <c r="R8" i="16"/>
  <c r="J8" i="16"/>
  <c r="E13" i="16"/>
  <c r="AC13" i="16"/>
  <c r="M24" i="16"/>
  <c r="Y23" i="16"/>
  <c r="Y9" i="16"/>
  <c r="M15" i="16"/>
  <c r="AD13" i="16"/>
  <c r="AG14" i="16"/>
  <c r="AC18" i="16"/>
  <c r="H25" i="16"/>
  <c r="AA25" i="16"/>
  <c r="AE34" i="16"/>
  <c r="W33" i="16"/>
  <c r="AF33" i="16"/>
  <c r="AC3" i="16"/>
  <c r="Q5" i="16"/>
  <c r="V3" i="16"/>
  <c r="M8" i="16"/>
  <c r="Y19" i="16"/>
  <c r="I23" i="16"/>
  <c r="U24" i="16"/>
  <c r="AB34" i="16"/>
  <c r="AG33" i="16"/>
  <c r="J23" i="16"/>
  <c r="M25" i="16"/>
  <c r="AI25" i="16"/>
  <c r="O33" i="16"/>
  <c r="Y32" i="16"/>
  <c r="Y33" i="16" s="1"/>
  <c r="N8" i="17"/>
  <c r="N17" i="17" s="1"/>
  <c r="C8" i="17"/>
  <c r="C17" i="17" s="1"/>
  <c r="C16" i="17"/>
  <c r="AJ4" i="16"/>
  <c r="AJ32" i="16"/>
  <c r="AJ15" i="16" s="1"/>
  <c r="AJ9" i="16"/>
  <c r="AJ14" i="16"/>
  <c r="I32" i="16"/>
  <c r="AA33" i="16"/>
  <c r="M3" i="16"/>
  <c r="R18" i="16"/>
  <c r="T33" i="16"/>
  <c r="AB33" i="16"/>
  <c r="X34" i="16"/>
  <c r="AF34" i="16"/>
  <c r="E3" i="16"/>
  <c r="AD3" i="16"/>
  <c r="AP3" i="16" s="1"/>
  <c r="F3" i="16"/>
  <c r="Q13" i="16"/>
  <c r="Y13" i="16"/>
  <c r="I14" i="16"/>
  <c r="U14" i="16"/>
  <c r="AG15" i="16"/>
  <c r="V25" i="16"/>
  <c r="AD25" i="16"/>
  <c r="I28" i="16"/>
  <c r="G30" i="16"/>
  <c r="M4" i="16"/>
  <c r="U8" i="16"/>
  <c r="AC8" i="16"/>
  <c r="AO8" i="16" s="1"/>
  <c r="AS8" i="16" s="1"/>
  <c r="M9" i="16"/>
  <c r="AG9" i="16"/>
  <c r="I13" i="16"/>
  <c r="R13" i="16"/>
  <c r="B15" i="16"/>
  <c r="J15" i="16"/>
  <c r="R15" i="16"/>
  <c r="Z15" i="16"/>
  <c r="AH15" i="16"/>
  <c r="U23" i="16"/>
  <c r="AC23" i="16"/>
  <c r="AO23" i="16" s="1"/>
  <c r="AS23" i="16" s="1"/>
  <c r="Y24" i="16"/>
  <c r="AG24" i="16"/>
  <c r="O25" i="16"/>
  <c r="W25" i="16"/>
  <c r="AE25" i="16"/>
  <c r="E32" i="16"/>
  <c r="E10" i="16" s="1"/>
  <c r="U32" i="16"/>
  <c r="AC32" i="16"/>
  <c r="R34" i="16"/>
  <c r="Z34" i="16"/>
  <c r="AH34" i="16"/>
  <c r="Q18" i="16"/>
  <c r="U19" i="16"/>
  <c r="S33" i="16"/>
  <c r="AI33" i="16"/>
  <c r="Q3" i="16"/>
  <c r="I4" i="16"/>
  <c r="AG5" i="16"/>
  <c r="E8" i="16"/>
  <c r="AD8" i="16"/>
  <c r="AP8" i="16" s="1"/>
  <c r="U18" i="16"/>
  <c r="AG20" i="16"/>
  <c r="E23" i="16"/>
  <c r="AD23" i="16"/>
  <c r="AH33" i="16"/>
  <c r="I3" i="16"/>
  <c r="B5" i="16"/>
  <c r="J5" i="16"/>
  <c r="R5" i="16"/>
  <c r="Z5" i="16"/>
  <c r="AH5" i="16"/>
  <c r="R20" i="16"/>
  <c r="Z20" i="16"/>
  <c r="AH20" i="16"/>
  <c r="AG25" i="16"/>
  <c r="B30" i="16"/>
  <c r="J30" i="16"/>
  <c r="P33" i="16"/>
  <c r="X33" i="16"/>
  <c r="U13" i="16"/>
  <c r="M14" i="16"/>
  <c r="Y14" i="16"/>
  <c r="Q20" i="16" l="1"/>
  <c r="AP18" i="16"/>
  <c r="AO3" i="16"/>
  <c r="Q15" i="16"/>
  <c r="Q25" i="16"/>
  <c r="AN7" i="16"/>
  <c r="AM9" i="16"/>
  <c r="AP23" i="16"/>
  <c r="Q10" i="16"/>
  <c r="AO13" i="16"/>
  <c r="AS13" i="16" s="1"/>
  <c r="T4" i="20"/>
  <c r="T14" i="20"/>
  <c r="T9" i="20"/>
  <c r="AN22" i="16"/>
  <c r="AM24" i="16"/>
  <c r="AM32" i="16"/>
  <c r="AM20" i="16" s="1"/>
  <c r="AN12" i="16"/>
  <c r="AM14" i="16"/>
  <c r="Y34" i="16"/>
  <c r="Y25" i="16"/>
  <c r="Z33" i="16"/>
  <c r="Y5" i="16"/>
  <c r="Y20" i="16"/>
  <c r="Y15" i="16"/>
  <c r="R33" i="16"/>
  <c r="E5" i="16"/>
  <c r="Y10" i="16"/>
  <c r="AJ5" i="16"/>
  <c r="D17" i="17"/>
  <c r="AK14" i="16"/>
  <c r="AK9" i="16"/>
  <c r="V33" i="16"/>
  <c r="AJ25" i="16"/>
  <c r="E25" i="16"/>
  <c r="AK4" i="16"/>
  <c r="AK32" i="16"/>
  <c r="AC34" i="16"/>
  <c r="AC15" i="16"/>
  <c r="AC33" i="16"/>
  <c r="AC20" i="16"/>
  <c r="AC5" i="16"/>
  <c r="AC25" i="16"/>
  <c r="U34" i="16"/>
  <c r="U20" i="16"/>
  <c r="U5" i="16"/>
  <c r="U33" i="16"/>
  <c r="U10" i="16"/>
  <c r="AD33" i="16"/>
  <c r="I25" i="16"/>
  <c r="I30" i="16"/>
  <c r="I10" i="16"/>
  <c r="AC10" i="16"/>
  <c r="AJ34" i="16"/>
  <c r="AJ33" i="16"/>
  <c r="I15" i="16"/>
  <c r="AJ20" i="16"/>
  <c r="AG34" i="16"/>
  <c r="U25" i="16"/>
  <c r="E15" i="16"/>
  <c r="E30" i="16"/>
  <c r="I5" i="16"/>
  <c r="AK18" i="16"/>
  <c r="AO18" i="16" s="1"/>
  <c r="AJ10" i="16"/>
  <c r="U15" i="16"/>
  <c r="AO7" i="16" l="1"/>
  <c r="AN9" i="16"/>
  <c r="AS3" i="16"/>
  <c r="AO2" i="16"/>
  <c r="AS18" i="16"/>
  <c r="AO17" i="16"/>
  <c r="AK5" i="16"/>
  <c r="AL33" i="16"/>
  <c r="AN24" i="16"/>
  <c r="AO22" i="16"/>
  <c r="O6" i="17" s="1"/>
  <c r="AM25" i="16"/>
  <c r="AN14" i="16"/>
  <c r="AO12" i="16"/>
  <c r="O4" i="17" s="1"/>
  <c r="AN32" i="16"/>
  <c r="AN20" i="16" s="1"/>
  <c r="AM5" i="16"/>
  <c r="AM34" i="16"/>
  <c r="AM33" i="16"/>
  <c r="AM10" i="16"/>
  <c r="AM15" i="16"/>
  <c r="AK20" i="16"/>
  <c r="AK10" i="16"/>
  <c r="AK34" i="16"/>
  <c r="AK33" i="16"/>
  <c r="AK25" i="16"/>
  <c r="AK15" i="16"/>
  <c r="O15" i="17" l="1"/>
  <c r="C3" i="20"/>
  <c r="AP2" i="16"/>
  <c r="AO4" i="16"/>
  <c r="O2" i="17"/>
  <c r="O3" i="17"/>
  <c r="O12" i="17" s="1"/>
  <c r="AP7" i="16"/>
  <c r="AO9" i="16"/>
  <c r="AP17" i="16"/>
  <c r="AO19" i="16"/>
  <c r="O5" i="17"/>
  <c r="O13" i="17"/>
  <c r="AP22" i="16"/>
  <c r="AO24" i="16"/>
  <c r="AN25" i="16"/>
  <c r="AP12" i="16"/>
  <c r="AO14" i="16"/>
  <c r="AO32" i="16"/>
  <c r="AO25" i="16" s="1"/>
  <c r="AN10" i="16"/>
  <c r="AN33" i="16"/>
  <c r="AN34" i="16"/>
  <c r="AN5" i="16"/>
  <c r="AN15" i="16"/>
  <c r="B2" i="15"/>
  <c r="B6" i="15" s="1"/>
  <c r="B17" i="15" s="1"/>
  <c r="T3" i="14"/>
  <c r="T2" i="14"/>
  <c r="Q7" i="14"/>
  <c r="Q5" i="14"/>
  <c r="Q4" i="14"/>
  <c r="Q3" i="14"/>
  <c r="Q2" i="14"/>
  <c r="N524" i="14"/>
  <c r="N523" i="14"/>
  <c r="N522" i="14"/>
  <c r="N521" i="14"/>
  <c r="N520" i="14"/>
  <c r="N519" i="14"/>
  <c r="N518" i="14"/>
  <c r="N517" i="14"/>
  <c r="N516" i="14"/>
  <c r="N515" i="14"/>
  <c r="N514" i="14"/>
  <c r="N513" i="14"/>
  <c r="N512" i="14"/>
  <c r="N511" i="14"/>
  <c r="N510" i="14"/>
  <c r="N509" i="14"/>
  <c r="N508" i="14"/>
  <c r="N507" i="14"/>
  <c r="N506" i="14"/>
  <c r="N505" i="14"/>
  <c r="N504" i="14"/>
  <c r="N503" i="14"/>
  <c r="N502" i="14"/>
  <c r="N501" i="14"/>
  <c r="N500" i="14"/>
  <c r="N499" i="14"/>
  <c r="N498" i="14"/>
  <c r="N497" i="14"/>
  <c r="N496" i="14"/>
  <c r="N495" i="14"/>
  <c r="N494" i="14"/>
  <c r="N493" i="14"/>
  <c r="N492" i="14"/>
  <c r="N491" i="14"/>
  <c r="N490" i="14"/>
  <c r="N489" i="14"/>
  <c r="N488" i="14"/>
  <c r="N487" i="14"/>
  <c r="N486" i="14"/>
  <c r="N485" i="14"/>
  <c r="N484" i="14"/>
  <c r="N483" i="14"/>
  <c r="N482" i="14"/>
  <c r="N481" i="14"/>
  <c r="N480" i="14"/>
  <c r="N479" i="14"/>
  <c r="N478" i="14"/>
  <c r="N477" i="14"/>
  <c r="N476" i="14"/>
  <c r="N475" i="14"/>
  <c r="N474" i="14"/>
  <c r="N473" i="14"/>
  <c r="N472" i="14"/>
  <c r="N471" i="14"/>
  <c r="N470" i="14"/>
  <c r="N469" i="14"/>
  <c r="N468" i="14"/>
  <c r="N467" i="14"/>
  <c r="N466" i="14"/>
  <c r="N465" i="14"/>
  <c r="N464" i="14"/>
  <c r="N463" i="14"/>
  <c r="N462" i="14"/>
  <c r="N461" i="14"/>
  <c r="N460" i="14"/>
  <c r="N459" i="14"/>
  <c r="N458" i="14"/>
  <c r="N457" i="14"/>
  <c r="N456" i="14"/>
  <c r="N455" i="14"/>
  <c r="N454" i="14"/>
  <c r="N453" i="14"/>
  <c r="N452" i="14"/>
  <c r="N451" i="14"/>
  <c r="N450" i="14"/>
  <c r="N449" i="14"/>
  <c r="N448" i="14"/>
  <c r="N447" i="14"/>
  <c r="N446" i="14"/>
  <c r="N445" i="14"/>
  <c r="N444" i="14"/>
  <c r="N443" i="14"/>
  <c r="N442" i="14"/>
  <c r="N441" i="14"/>
  <c r="N440" i="14"/>
  <c r="N439" i="14"/>
  <c r="N438" i="14"/>
  <c r="N437" i="14"/>
  <c r="N436" i="14"/>
  <c r="N435" i="14"/>
  <c r="N434" i="14"/>
  <c r="N433" i="14"/>
  <c r="N432" i="14"/>
  <c r="N431" i="14"/>
  <c r="N430" i="14"/>
  <c r="N429" i="14"/>
  <c r="N428" i="14"/>
  <c r="N427" i="14"/>
  <c r="N426" i="14"/>
  <c r="N425" i="14"/>
  <c r="N424" i="14"/>
  <c r="N423" i="14"/>
  <c r="N422" i="14"/>
  <c r="N421" i="14"/>
  <c r="N420" i="14"/>
  <c r="N419" i="14"/>
  <c r="N418" i="14"/>
  <c r="N417" i="14"/>
  <c r="N416" i="14"/>
  <c r="N415" i="14"/>
  <c r="N414" i="14"/>
  <c r="N413" i="14"/>
  <c r="N412" i="14"/>
  <c r="N411" i="14"/>
  <c r="N410" i="14"/>
  <c r="N409" i="14"/>
  <c r="N408" i="14"/>
  <c r="N407" i="14"/>
  <c r="N406" i="14"/>
  <c r="N405" i="14"/>
  <c r="N404" i="14"/>
  <c r="N403" i="14"/>
  <c r="N402" i="14"/>
  <c r="N401" i="14"/>
  <c r="N400" i="14"/>
  <c r="N399" i="14"/>
  <c r="N398" i="14"/>
  <c r="N397" i="14"/>
  <c r="N396" i="14"/>
  <c r="N395" i="14"/>
  <c r="N394" i="14"/>
  <c r="N393" i="14"/>
  <c r="N392" i="14"/>
  <c r="N391" i="14"/>
  <c r="N390" i="14"/>
  <c r="N389" i="14"/>
  <c r="N388" i="14"/>
  <c r="N387" i="14"/>
  <c r="N386" i="14"/>
  <c r="N385" i="14"/>
  <c r="N384" i="14"/>
  <c r="N383" i="14"/>
  <c r="N382" i="14"/>
  <c r="N381" i="14"/>
  <c r="N380" i="14"/>
  <c r="N379" i="14"/>
  <c r="N378" i="14"/>
  <c r="N377" i="14"/>
  <c r="N376" i="14"/>
  <c r="N375" i="14"/>
  <c r="N374" i="14"/>
  <c r="N373" i="14"/>
  <c r="N372" i="14"/>
  <c r="N371" i="14"/>
  <c r="N370" i="14"/>
  <c r="N369" i="14"/>
  <c r="N368" i="14"/>
  <c r="N367" i="14"/>
  <c r="N366" i="14"/>
  <c r="N365" i="14"/>
  <c r="N364" i="14"/>
  <c r="N363" i="14"/>
  <c r="N362" i="14"/>
  <c r="N361" i="14"/>
  <c r="N360" i="14"/>
  <c r="N359" i="14"/>
  <c r="N358" i="14"/>
  <c r="N357" i="14"/>
  <c r="N356" i="14"/>
  <c r="N355" i="14"/>
  <c r="N354" i="14"/>
  <c r="N353" i="14"/>
  <c r="N352" i="14"/>
  <c r="N351" i="14"/>
  <c r="N350" i="14"/>
  <c r="N349" i="14"/>
  <c r="N348" i="14"/>
  <c r="N347" i="14"/>
  <c r="N346" i="14"/>
  <c r="N345" i="14"/>
  <c r="N344" i="14"/>
  <c r="N343" i="14"/>
  <c r="N342" i="14"/>
  <c r="N341" i="14"/>
  <c r="N340" i="14"/>
  <c r="N339" i="14"/>
  <c r="N338" i="14"/>
  <c r="N337" i="14"/>
  <c r="N336" i="14"/>
  <c r="N335" i="14"/>
  <c r="N334" i="14"/>
  <c r="N333" i="14"/>
  <c r="N332" i="14"/>
  <c r="N331" i="14"/>
  <c r="N330" i="14"/>
  <c r="N329" i="14"/>
  <c r="N328" i="14"/>
  <c r="N327" i="14"/>
  <c r="N326" i="14"/>
  <c r="N325" i="14"/>
  <c r="N324" i="14"/>
  <c r="N323" i="14"/>
  <c r="N322" i="14"/>
  <c r="N321" i="14"/>
  <c r="N320" i="14"/>
  <c r="N319" i="14"/>
  <c r="N318" i="14"/>
  <c r="N317" i="14"/>
  <c r="N316" i="14"/>
  <c r="N315" i="14"/>
  <c r="N314" i="14"/>
  <c r="N313" i="14"/>
  <c r="N312" i="14"/>
  <c r="N311" i="14"/>
  <c r="N310" i="14"/>
  <c r="N309" i="14"/>
  <c r="N308" i="14"/>
  <c r="N307" i="14"/>
  <c r="N306" i="14"/>
  <c r="N305" i="14"/>
  <c r="N304" i="14"/>
  <c r="N303" i="14"/>
  <c r="N302" i="14"/>
  <c r="N301" i="14"/>
  <c r="N300" i="14"/>
  <c r="N299" i="14"/>
  <c r="N298" i="14"/>
  <c r="N297" i="14"/>
  <c r="N296" i="14"/>
  <c r="N295" i="14"/>
  <c r="N294" i="14"/>
  <c r="N293" i="14"/>
  <c r="N292" i="14"/>
  <c r="N291" i="14"/>
  <c r="N290" i="14"/>
  <c r="N289" i="14"/>
  <c r="N288" i="14"/>
  <c r="N287" i="14"/>
  <c r="N286" i="14"/>
  <c r="N285" i="14"/>
  <c r="N284" i="14"/>
  <c r="N283" i="14"/>
  <c r="N282" i="14"/>
  <c r="N281" i="14"/>
  <c r="N280" i="14"/>
  <c r="N279" i="14"/>
  <c r="N278" i="14"/>
  <c r="N277" i="14"/>
  <c r="N276" i="14"/>
  <c r="N275" i="14"/>
  <c r="N274" i="14"/>
  <c r="N273" i="14"/>
  <c r="N272" i="14"/>
  <c r="N271" i="14"/>
  <c r="N270" i="14"/>
  <c r="N269" i="14"/>
  <c r="N268" i="14"/>
  <c r="N267" i="14"/>
  <c r="N266" i="14"/>
  <c r="N265" i="14"/>
  <c r="N264" i="14"/>
  <c r="N263" i="14"/>
  <c r="N262" i="14"/>
  <c r="N261" i="14"/>
  <c r="N260" i="14"/>
  <c r="N259" i="14"/>
  <c r="N258" i="14"/>
  <c r="N257" i="14"/>
  <c r="N256" i="14"/>
  <c r="N255" i="14"/>
  <c r="N254" i="14"/>
  <c r="N253" i="14"/>
  <c r="N252" i="14"/>
  <c r="N251" i="14"/>
  <c r="N250" i="14"/>
  <c r="N249" i="14"/>
  <c r="N248" i="14"/>
  <c r="N247" i="14"/>
  <c r="N246" i="14"/>
  <c r="N245" i="14"/>
  <c r="N244" i="14"/>
  <c r="N243" i="14"/>
  <c r="N242" i="14"/>
  <c r="N241" i="14"/>
  <c r="N240" i="14"/>
  <c r="N239" i="14"/>
  <c r="N238" i="14"/>
  <c r="N237" i="14"/>
  <c r="N236" i="14"/>
  <c r="N235" i="14"/>
  <c r="N234" i="14"/>
  <c r="N233" i="14"/>
  <c r="N232" i="14"/>
  <c r="N231" i="14"/>
  <c r="N230" i="14"/>
  <c r="N229" i="14"/>
  <c r="N228" i="14"/>
  <c r="N227" i="14"/>
  <c r="N226" i="14"/>
  <c r="N225" i="14"/>
  <c r="N224" i="14"/>
  <c r="N223" i="14"/>
  <c r="N222" i="14"/>
  <c r="N221" i="14"/>
  <c r="N220" i="14"/>
  <c r="N219" i="14"/>
  <c r="N218" i="14"/>
  <c r="N217" i="14"/>
  <c r="N216" i="14"/>
  <c r="N215" i="14"/>
  <c r="N214" i="14"/>
  <c r="N213" i="14"/>
  <c r="N212" i="14"/>
  <c r="N211" i="14"/>
  <c r="N210" i="14"/>
  <c r="N209" i="14"/>
  <c r="N208" i="14"/>
  <c r="N207" i="14"/>
  <c r="N206" i="14"/>
  <c r="N205" i="14"/>
  <c r="N204" i="14"/>
  <c r="N203" i="14"/>
  <c r="N202" i="14"/>
  <c r="N201" i="14"/>
  <c r="N200" i="14"/>
  <c r="N199" i="14"/>
  <c r="N198" i="14"/>
  <c r="N197" i="14"/>
  <c r="N196" i="14"/>
  <c r="N195" i="14"/>
  <c r="N194" i="14"/>
  <c r="N193" i="14"/>
  <c r="N192" i="14"/>
  <c r="N191" i="14"/>
  <c r="N190" i="14"/>
  <c r="N189" i="14"/>
  <c r="N188" i="14"/>
  <c r="N187" i="14"/>
  <c r="N186" i="14"/>
  <c r="N185" i="14"/>
  <c r="N184" i="14"/>
  <c r="N183" i="14"/>
  <c r="N182" i="14"/>
  <c r="N181" i="14"/>
  <c r="N180" i="14"/>
  <c r="N179" i="14"/>
  <c r="N178" i="14"/>
  <c r="N177" i="14"/>
  <c r="N176" i="14"/>
  <c r="N175" i="14"/>
  <c r="N174" i="14"/>
  <c r="N173" i="14"/>
  <c r="N172" i="14"/>
  <c r="N171" i="14"/>
  <c r="N170" i="14"/>
  <c r="N169" i="14"/>
  <c r="N168" i="14"/>
  <c r="N167" i="14"/>
  <c r="N166" i="14"/>
  <c r="N165" i="14"/>
  <c r="N164" i="14"/>
  <c r="N163" i="14"/>
  <c r="N162" i="14"/>
  <c r="N161" i="14"/>
  <c r="N160" i="14"/>
  <c r="N159" i="14"/>
  <c r="N158" i="14"/>
  <c r="N157" i="14"/>
  <c r="N156" i="14"/>
  <c r="N155" i="14"/>
  <c r="N154" i="14"/>
  <c r="N153" i="14"/>
  <c r="N152" i="14"/>
  <c r="N151" i="14"/>
  <c r="N150" i="14"/>
  <c r="N149" i="14"/>
  <c r="N148" i="14"/>
  <c r="N147" i="14"/>
  <c r="N146" i="14"/>
  <c r="N145" i="14"/>
  <c r="N144" i="14"/>
  <c r="N143" i="14"/>
  <c r="N142" i="14"/>
  <c r="N141" i="14"/>
  <c r="N140" i="14"/>
  <c r="N139" i="14"/>
  <c r="N138" i="14"/>
  <c r="N137" i="14"/>
  <c r="N136" i="14"/>
  <c r="N135" i="14"/>
  <c r="N134" i="14"/>
  <c r="N133" i="14"/>
  <c r="N132" i="14"/>
  <c r="N131" i="14"/>
  <c r="N130" i="14"/>
  <c r="N129" i="14"/>
  <c r="N128" i="14"/>
  <c r="N127" i="14"/>
  <c r="N126" i="14"/>
  <c r="N125" i="14"/>
  <c r="N124" i="14"/>
  <c r="N123" i="14"/>
  <c r="N122" i="14"/>
  <c r="N121" i="14"/>
  <c r="N120" i="14"/>
  <c r="N119" i="14"/>
  <c r="N118" i="14"/>
  <c r="N117" i="14"/>
  <c r="N116" i="14"/>
  <c r="N115" i="14"/>
  <c r="N114" i="14"/>
  <c r="N113" i="14"/>
  <c r="N112" i="14"/>
  <c r="N111" i="14"/>
  <c r="N110" i="14"/>
  <c r="N109" i="14"/>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7" i="14"/>
  <c r="N76" i="14"/>
  <c r="N75" i="14"/>
  <c r="N74" i="14"/>
  <c r="N73" i="14"/>
  <c r="N72" i="14"/>
  <c r="N71" i="14"/>
  <c r="N70" i="14"/>
  <c r="N69" i="14"/>
  <c r="N68" i="14"/>
  <c r="N67" i="14"/>
  <c r="N66" i="14"/>
  <c r="N65" i="14"/>
  <c r="N64" i="14"/>
  <c r="N63" i="14"/>
  <c r="N62" i="14"/>
  <c r="N61" i="14"/>
  <c r="N60" i="14"/>
  <c r="N59" i="14"/>
  <c r="N58" i="14"/>
  <c r="N57"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10" i="14"/>
  <c r="N9" i="14"/>
  <c r="N8" i="14"/>
  <c r="N7" i="14"/>
  <c r="N6" i="14"/>
  <c r="N5" i="14"/>
  <c r="N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L51" i="14"/>
  <c r="L52" i="14"/>
  <c r="L53" i="14"/>
  <c r="L54" i="14"/>
  <c r="L55"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8" i="14"/>
  <c r="L219" i="14"/>
  <c r="L220" i="14"/>
  <c r="L221" i="14"/>
  <c r="L222" i="14"/>
  <c r="L223" i="14"/>
  <c r="L224" i="14"/>
  <c r="L225" i="14"/>
  <c r="L226" i="14"/>
  <c r="L227" i="14"/>
  <c r="L228" i="14"/>
  <c r="L229" i="14"/>
  <c r="L230" i="14"/>
  <c r="L231" i="14"/>
  <c r="L232" i="14"/>
  <c r="L233" i="14"/>
  <c r="L234" i="14"/>
  <c r="L235" i="14"/>
  <c r="L236" i="14"/>
  <c r="L237" i="14"/>
  <c r="L238" i="14"/>
  <c r="L239" i="14"/>
  <c r="L240" i="14"/>
  <c r="L241" i="14"/>
  <c r="L242" i="14"/>
  <c r="L243" i="14"/>
  <c r="L244" i="14"/>
  <c r="L245" i="14"/>
  <c r="L246" i="14"/>
  <c r="L247" i="14"/>
  <c r="L248" i="14"/>
  <c r="L249" i="14"/>
  <c r="L250" i="14"/>
  <c r="L251" i="14"/>
  <c r="L252" i="14"/>
  <c r="L253" i="14"/>
  <c r="L254" i="14"/>
  <c r="L255" i="14"/>
  <c r="L256" i="14"/>
  <c r="L257" i="14"/>
  <c r="L258" i="14"/>
  <c r="L259" i="14"/>
  <c r="L260" i="14"/>
  <c r="L261" i="14"/>
  <c r="L262" i="14"/>
  <c r="L263" i="14"/>
  <c r="L264" i="14"/>
  <c r="L265" i="14"/>
  <c r="L266" i="14"/>
  <c r="L267" i="14"/>
  <c r="L268" i="14"/>
  <c r="L269" i="14"/>
  <c r="L270" i="14"/>
  <c r="L271" i="14"/>
  <c r="L272" i="14"/>
  <c r="L273" i="14"/>
  <c r="L274" i="14"/>
  <c r="L275" i="14"/>
  <c r="L276" i="14"/>
  <c r="L277" i="14"/>
  <c r="L278" i="14"/>
  <c r="L279" i="14"/>
  <c r="L280" i="14"/>
  <c r="L281" i="14"/>
  <c r="L282" i="14"/>
  <c r="L283" i="14"/>
  <c r="L284" i="14"/>
  <c r="L285" i="14"/>
  <c r="L286" i="14"/>
  <c r="L287" i="14"/>
  <c r="L288" i="14"/>
  <c r="L289" i="14"/>
  <c r="L290" i="14"/>
  <c r="L291" i="14"/>
  <c r="L292" i="14"/>
  <c r="L293" i="14"/>
  <c r="L294" i="14"/>
  <c r="L295" i="14"/>
  <c r="L296" i="14"/>
  <c r="L297" i="14"/>
  <c r="L298" i="14"/>
  <c r="L299" i="14"/>
  <c r="L300" i="14"/>
  <c r="L301" i="14"/>
  <c r="L302" i="14"/>
  <c r="L303" i="14"/>
  <c r="L304" i="14"/>
  <c r="L305" i="14"/>
  <c r="L306" i="14"/>
  <c r="L307" i="14"/>
  <c r="L308" i="14"/>
  <c r="L309" i="14"/>
  <c r="L310" i="14"/>
  <c r="L311" i="14"/>
  <c r="L312" i="14"/>
  <c r="L313" i="14"/>
  <c r="L314" i="14"/>
  <c r="L315" i="14"/>
  <c r="L316" i="14"/>
  <c r="L317" i="14"/>
  <c r="L318" i="14"/>
  <c r="L319" i="14"/>
  <c r="L320" i="14"/>
  <c r="L321" i="14"/>
  <c r="L322" i="14"/>
  <c r="L323" i="14"/>
  <c r="L324" i="14"/>
  <c r="L325" i="14"/>
  <c r="L326" i="14"/>
  <c r="L327" i="14"/>
  <c r="L328" i="14"/>
  <c r="L329" i="14"/>
  <c r="L330" i="14"/>
  <c r="L331" i="14"/>
  <c r="L332" i="14"/>
  <c r="L333" i="14"/>
  <c r="L334" i="14"/>
  <c r="L335" i="14"/>
  <c r="L336" i="14"/>
  <c r="L337" i="14"/>
  <c r="L338" i="14"/>
  <c r="L339" i="14"/>
  <c r="L340" i="14"/>
  <c r="L341" i="14"/>
  <c r="L342" i="14"/>
  <c r="L343" i="14"/>
  <c r="L344" i="14"/>
  <c r="L345" i="14"/>
  <c r="L346" i="14"/>
  <c r="L347" i="14"/>
  <c r="L348" i="14"/>
  <c r="L349" i="14"/>
  <c r="L350" i="14"/>
  <c r="L351" i="14"/>
  <c r="L352" i="14"/>
  <c r="L353" i="14"/>
  <c r="L354" i="14"/>
  <c r="L355" i="14"/>
  <c r="L356" i="14"/>
  <c r="L357" i="14"/>
  <c r="L358" i="14"/>
  <c r="L359" i="14"/>
  <c r="L360" i="14"/>
  <c r="L361" i="14"/>
  <c r="L362" i="14"/>
  <c r="L363" i="14"/>
  <c r="L364" i="14"/>
  <c r="L365" i="14"/>
  <c r="L366" i="14"/>
  <c r="L367" i="14"/>
  <c r="L368" i="14"/>
  <c r="L369" i="14"/>
  <c r="L370" i="14"/>
  <c r="L371" i="14"/>
  <c r="L372" i="14"/>
  <c r="L373" i="14"/>
  <c r="L374"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4" i="14"/>
  <c r="E2518" i="14"/>
  <c r="E2517" i="14"/>
  <c r="E2516" i="14"/>
  <c r="E2515" i="14"/>
  <c r="E2514" i="14"/>
  <c r="E2513" i="14"/>
  <c r="E2512" i="14"/>
  <c r="E2511" i="14"/>
  <c r="E2510" i="14"/>
  <c r="E2509" i="14"/>
  <c r="E2508" i="14"/>
  <c r="E2507" i="14"/>
  <c r="E2506" i="14"/>
  <c r="E2505" i="14"/>
  <c r="E2504" i="14"/>
  <c r="E2503" i="14"/>
  <c r="E2502" i="14"/>
  <c r="E2501" i="14"/>
  <c r="E2500" i="14"/>
  <c r="E2499" i="14"/>
  <c r="E2498" i="14"/>
  <c r="E2497" i="14"/>
  <c r="E2496" i="14"/>
  <c r="E2495" i="14"/>
  <c r="E2494" i="14"/>
  <c r="E2493" i="14"/>
  <c r="E2492" i="14"/>
  <c r="E2491" i="14"/>
  <c r="E2490" i="14"/>
  <c r="E2489" i="14"/>
  <c r="E2488" i="14"/>
  <c r="E2487" i="14"/>
  <c r="E2486" i="14"/>
  <c r="E2485" i="14"/>
  <c r="E2484" i="14"/>
  <c r="E2483" i="14"/>
  <c r="E2482" i="14"/>
  <c r="E2481" i="14"/>
  <c r="E2480" i="14"/>
  <c r="E2479" i="14"/>
  <c r="E2478" i="14"/>
  <c r="E2477" i="14"/>
  <c r="E2476" i="14"/>
  <c r="E2475" i="14"/>
  <c r="E2474" i="14"/>
  <c r="E2473" i="14"/>
  <c r="E2472" i="14"/>
  <c r="E2471" i="14"/>
  <c r="E2470" i="14"/>
  <c r="E2469" i="14"/>
  <c r="E2468" i="14"/>
  <c r="E2467" i="14"/>
  <c r="E2466" i="14"/>
  <c r="E2465" i="14"/>
  <c r="E2464" i="14"/>
  <c r="E2463" i="14"/>
  <c r="E2462" i="14"/>
  <c r="E2461" i="14"/>
  <c r="E2460" i="14"/>
  <c r="E2459" i="14"/>
  <c r="E2458" i="14"/>
  <c r="E2457" i="14"/>
  <c r="E2456" i="14"/>
  <c r="E2455" i="14"/>
  <c r="E2454" i="14"/>
  <c r="E2453" i="14"/>
  <c r="E2452" i="14"/>
  <c r="E2451" i="14"/>
  <c r="E2450" i="14"/>
  <c r="E2449" i="14"/>
  <c r="E2448" i="14"/>
  <c r="E2447" i="14"/>
  <c r="E2446" i="14"/>
  <c r="E2445" i="14"/>
  <c r="E2444" i="14"/>
  <c r="E2443" i="14"/>
  <c r="E2442" i="14"/>
  <c r="E2441" i="14"/>
  <c r="E2440" i="14"/>
  <c r="E2439" i="14"/>
  <c r="E2438" i="14"/>
  <c r="E2437" i="14"/>
  <c r="E2436" i="14"/>
  <c r="E2435" i="14"/>
  <c r="E2434" i="14"/>
  <c r="E2433" i="14"/>
  <c r="E2432" i="14"/>
  <c r="E2431" i="14"/>
  <c r="E2430" i="14"/>
  <c r="E2429" i="14"/>
  <c r="E2428" i="14"/>
  <c r="E2427" i="14"/>
  <c r="E2426" i="14"/>
  <c r="E2425" i="14"/>
  <c r="E2424" i="14"/>
  <c r="E2423" i="14"/>
  <c r="E2422" i="14"/>
  <c r="E2421" i="14"/>
  <c r="E2420" i="14"/>
  <c r="E2419" i="14"/>
  <c r="E2418" i="14"/>
  <c r="E2417" i="14"/>
  <c r="E2416" i="14"/>
  <c r="E2415" i="14"/>
  <c r="E2414" i="14"/>
  <c r="E2413" i="14"/>
  <c r="E2412" i="14"/>
  <c r="E2411" i="14"/>
  <c r="E2410" i="14"/>
  <c r="E2409" i="14"/>
  <c r="E2408" i="14"/>
  <c r="E2407" i="14"/>
  <c r="E2406" i="14"/>
  <c r="E2405" i="14"/>
  <c r="E2404" i="14"/>
  <c r="E2403" i="14"/>
  <c r="E2402" i="14"/>
  <c r="E2401" i="14"/>
  <c r="E2400" i="14"/>
  <c r="E2399" i="14"/>
  <c r="E2398" i="14"/>
  <c r="E2397" i="14"/>
  <c r="E2396" i="14"/>
  <c r="E2395" i="14"/>
  <c r="E2394" i="14"/>
  <c r="E2393" i="14"/>
  <c r="E2392" i="14"/>
  <c r="E2391" i="14"/>
  <c r="E2390" i="14"/>
  <c r="E2389" i="14"/>
  <c r="E2388" i="14"/>
  <c r="E2387" i="14"/>
  <c r="E2386" i="14"/>
  <c r="E2385" i="14"/>
  <c r="E2384" i="14"/>
  <c r="E2383" i="14"/>
  <c r="E2382" i="14"/>
  <c r="E2381" i="14"/>
  <c r="E2380" i="14"/>
  <c r="E2379" i="14"/>
  <c r="E2378" i="14"/>
  <c r="E2377" i="14"/>
  <c r="E2376" i="14"/>
  <c r="E2375" i="14"/>
  <c r="E2374" i="14"/>
  <c r="E2373" i="14"/>
  <c r="E2372" i="14"/>
  <c r="E2371" i="14"/>
  <c r="E2370" i="14"/>
  <c r="E2369" i="14"/>
  <c r="E2368" i="14"/>
  <c r="E2367" i="14"/>
  <c r="E2366" i="14"/>
  <c r="E2365" i="14"/>
  <c r="E2364" i="14"/>
  <c r="E2363" i="14"/>
  <c r="E2362" i="14"/>
  <c r="E2361" i="14"/>
  <c r="E2360" i="14"/>
  <c r="E2359" i="14"/>
  <c r="E2358" i="14"/>
  <c r="E2357" i="14"/>
  <c r="E2356" i="14"/>
  <c r="E2355" i="14"/>
  <c r="E2354" i="14"/>
  <c r="E2353" i="14"/>
  <c r="E2352" i="14"/>
  <c r="E2351" i="14"/>
  <c r="E2350" i="14"/>
  <c r="E2349" i="14"/>
  <c r="E2348" i="14"/>
  <c r="E2347" i="14"/>
  <c r="E2346" i="14"/>
  <c r="E2345" i="14"/>
  <c r="E2344" i="14"/>
  <c r="E2343" i="14"/>
  <c r="E2342" i="14"/>
  <c r="E2341" i="14"/>
  <c r="E2340" i="14"/>
  <c r="E2339" i="14"/>
  <c r="E2338" i="14"/>
  <c r="E2337" i="14"/>
  <c r="E2336" i="14"/>
  <c r="E2335" i="14"/>
  <c r="E2334" i="14"/>
  <c r="E2333" i="14"/>
  <c r="E2332" i="14"/>
  <c r="E2331" i="14"/>
  <c r="E2330" i="14"/>
  <c r="E2329" i="14"/>
  <c r="E2328" i="14"/>
  <c r="E2327" i="14"/>
  <c r="E2326" i="14"/>
  <c r="E2325" i="14"/>
  <c r="E2324" i="14"/>
  <c r="E2323" i="14"/>
  <c r="E2322" i="14"/>
  <c r="E2321" i="14"/>
  <c r="E2320" i="14"/>
  <c r="E2319" i="14"/>
  <c r="E2318" i="14"/>
  <c r="E2317" i="14"/>
  <c r="E2316" i="14"/>
  <c r="E2315" i="14"/>
  <c r="E2314" i="14"/>
  <c r="E2313" i="14"/>
  <c r="E2312" i="14"/>
  <c r="E2311" i="14"/>
  <c r="E2310" i="14"/>
  <c r="E2309" i="14"/>
  <c r="E2308" i="14"/>
  <c r="E2307" i="14"/>
  <c r="E2306" i="14"/>
  <c r="E2305" i="14"/>
  <c r="E2304" i="14"/>
  <c r="E2303" i="14"/>
  <c r="E2302" i="14"/>
  <c r="E2301" i="14"/>
  <c r="E2300" i="14"/>
  <c r="E2299" i="14"/>
  <c r="E2298" i="14"/>
  <c r="E2297" i="14"/>
  <c r="E2296" i="14"/>
  <c r="E2295" i="14"/>
  <c r="E2294" i="14"/>
  <c r="E2293" i="14"/>
  <c r="E2292" i="14"/>
  <c r="E2291" i="14"/>
  <c r="E2290" i="14"/>
  <c r="E2289" i="14"/>
  <c r="E2288" i="14"/>
  <c r="E2287" i="14"/>
  <c r="E2286" i="14"/>
  <c r="E2285" i="14"/>
  <c r="E2284" i="14"/>
  <c r="E2283" i="14"/>
  <c r="E2282" i="14"/>
  <c r="E2281" i="14"/>
  <c r="E2280" i="14"/>
  <c r="E2279" i="14"/>
  <c r="E2278" i="14"/>
  <c r="E2277" i="14"/>
  <c r="E2276" i="14"/>
  <c r="E2275" i="14"/>
  <c r="E2274" i="14"/>
  <c r="E2273" i="14"/>
  <c r="E2272" i="14"/>
  <c r="E2271" i="14"/>
  <c r="E2270" i="14"/>
  <c r="E2269" i="14"/>
  <c r="E2268" i="14"/>
  <c r="E2267" i="14"/>
  <c r="E2266" i="14"/>
  <c r="E2265" i="14"/>
  <c r="E2264" i="14"/>
  <c r="E2263" i="14"/>
  <c r="E2262" i="14"/>
  <c r="E2261" i="14"/>
  <c r="E2260" i="14"/>
  <c r="E2259" i="14"/>
  <c r="E2258" i="14"/>
  <c r="E2257" i="14"/>
  <c r="E2256" i="14"/>
  <c r="E2255" i="14"/>
  <c r="E2254" i="14"/>
  <c r="E2253" i="14"/>
  <c r="E2252" i="14"/>
  <c r="E2251" i="14"/>
  <c r="E2250" i="14"/>
  <c r="E2249" i="14"/>
  <c r="E2248" i="14"/>
  <c r="E2247" i="14"/>
  <c r="E2246" i="14"/>
  <c r="E2245" i="14"/>
  <c r="E2244" i="14"/>
  <c r="E2243" i="14"/>
  <c r="E2242" i="14"/>
  <c r="E2241" i="14"/>
  <c r="E2240" i="14"/>
  <c r="E2239" i="14"/>
  <c r="E2238" i="14"/>
  <c r="E2237" i="14"/>
  <c r="E2236" i="14"/>
  <c r="E2235" i="14"/>
  <c r="E2234" i="14"/>
  <c r="E2233" i="14"/>
  <c r="E2232" i="14"/>
  <c r="E2231" i="14"/>
  <c r="E2230" i="14"/>
  <c r="E2229" i="14"/>
  <c r="E2228" i="14"/>
  <c r="E2227" i="14"/>
  <c r="E2226" i="14"/>
  <c r="E2225" i="14"/>
  <c r="E2224" i="14"/>
  <c r="E2223" i="14"/>
  <c r="E2222" i="14"/>
  <c r="E2221" i="14"/>
  <c r="E2220" i="14"/>
  <c r="E2219" i="14"/>
  <c r="E2218" i="14"/>
  <c r="E2217" i="14"/>
  <c r="E2216" i="14"/>
  <c r="E2215" i="14"/>
  <c r="E2214" i="14"/>
  <c r="E2213" i="14"/>
  <c r="E2212" i="14"/>
  <c r="E2211" i="14"/>
  <c r="E2210" i="14"/>
  <c r="E2209" i="14"/>
  <c r="E2208" i="14"/>
  <c r="E2207" i="14"/>
  <c r="E2206" i="14"/>
  <c r="E2205" i="14"/>
  <c r="E2204" i="14"/>
  <c r="E2203" i="14"/>
  <c r="E2202" i="14"/>
  <c r="E2201" i="14"/>
  <c r="E2200" i="14"/>
  <c r="E2199" i="14"/>
  <c r="E2198" i="14"/>
  <c r="E2197" i="14"/>
  <c r="E2196" i="14"/>
  <c r="E2195" i="14"/>
  <c r="E2194" i="14"/>
  <c r="E2193" i="14"/>
  <c r="E2192" i="14"/>
  <c r="E2191" i="14"/>
  <c r="E2190" i="14"/>
  <c r="E2189" i="14"/>
  <c r="E2188" i="14"/>
  <c r="E2187" i="14"/>
  <c r="E2186" i="14"/>
  <c r="E2185" i="14"/>
  <c r="E2184" i="14"/>
  <c r="E2183" i="14"/>
  <c r="E2182" i="14"/>
  <c r="E2181" i="14"/>
  <c r="E2180" i="14"/>
  <c r="E2179" i="14"/>
  <c r="E2178" i="14"/>
  <c r="E2177" i="14"/>
  <c r="E2176" i="14"/>
  <c r="E2175" i="14"/>
  <c r="E2174" i="14"/>
  <c r="E2173" i="14"/>
  <c r="E2172" i="14"/>
  <c r="E2171" i="14"/>
  <c r="E2170" i="14"/>
  <c r="E2169" i="14"/>
  <c r="E2168" i="14"/>
  <c r="E2167" i="14"/>
  <c r="E2166" i="14"/>
  <c r="E2165" i="14"/>
  <c r="E2164" i="14"/>
  <c r="E2163" i="14"/>
  <c r="E2162" i="14"/>
  <c r="E2161" i="14"/>
  <c r="E2160" i="14"/>
  <c r="E2159" i="14"/>
  <c r="E2158" i="14"/>
  <c r="E2157" i="14"/>
  <c r="E2156" i="14"/>
  <c r="E2155" i="14"/>
  <c r="E2154" i="14"/>
  <c r="E2153" i="14"/>
  <c r="E2152" i="14"/>
  <c r="E2151" i="14"/>
  <c r="E2150" i="14"/>
  <c r="E2149" i="14"/>
  <c r="E2148" i="14"/>
  <c r="E2147" i="14"/>
  <c r="E2146" i="14"/>
  <c r="E2145" i="14"/>
  <c r="E2144" i="14"/>
  <c r="E2143" i="14"/>
  <c r="E2142" i="14"/>
  <c r="E2141" i="14"/>
  <c r="E2140" i="14"/>
  <c r="E2139" i="14"/>
  <c r="E2138" i="14"/>
  <c r="E2137" i="14"/>
  <c r="E2136" i="14"/>
  <c r="E2135" i="14"/>
  <c r="E2134" i="14"/>
  <c r="E2133" i="14"/>
  <c r="E2132" i="14"/>
  <c r="E2131" i="14"/>
  <c r="E2130" i="14"/>
  <c r="E2129" i="14"/>
  <c r="E2128" i="14"/>
  <c r="E2127" i="14"/>
  <c r="E2126" i="14"/>
  <c r="E2125" i="14"/>
  <c r="E2124" i="14"/>
  <c r="E2123" i="14"/>
  <c r="E2122" i="14"/>
  <c r="E2121" i="14"/>
  <c r="E2120" i="14"/>
  <c r="E2119" i="14"/>
  <c r="E2118" i="14"/>
  <c r="E2117" i="14"/>
  <c r="E2116" i="14"/>
  <c r="E2115" i="14"/>
  <c r="E2114" i="14"/>
  <c r="E2113" i="14"/>
  <c r="E2112" i="14"/>
  <c r="E2111" i="14"/>
  <c r="E2110" i="14"/>
  <c r="E2109" i="14"/>
  <c r="E2108" i="14"/>
  <c r="E2107" i="14"/>
  <c r="E2106" i="14"/>
  <c r="E2105" i="14"/>
  <c r="E2104" i="14"/>
  <c r="E2103" i="14"/>
  <c r="E2102" i="14"/>
  <c r="E2101" i="14"/>
  <c r="E2100" i="14"/>
  <c r="E2099" i="14"/>
  <c r="E2098" i="14"/>
  <c r="E2097" i="14"/>
  <c r="E2096" i="14"/>
  <c r="E2095" i="14"/>
  <c r="E2094" i="14"/>
  <c r="E2093" i="14"/>
  <c r="E2092" i="14"/>
  <c r="E2091" i="14"/>
  <c r="E2090" i="14"/>
  <c r="E2089" i="14"/>
  <c r="E2088" i="14"/>
  <c r="E2087" i="14"/>
  <c r="E2086" i="14"/>
  <c r="E2085" i="14"/>
  <c r="E2084" i="14"/>
  <c r="E2083" i="14"/>
  <c r="E2082" i="14"/>
  <c r="E2081" i="14"/>
  <c r="E2080" i="14"/>
  <c r="E2079" i="14"/>
  <c r="E2078" i="14"/>
  <c r="E2077" i="14"/>
  <c r="E2076" i="14"/>
  <c r="E2075" i="14"/>
  <c r="E2074" i="14"/>
  <c r="E2073" i="14"/>
  <c r="E2072" i="14"/>
  <c r="E2071" i="14"/>
  <c r="E2070" i="14"/>
  <c r="E2069" i="14"/>
  <c r="E2068" i="14"/>
  <c r="E2067" i="14"/>
  <c r="E2066" i="14"/>
  <c r="E2065" i="14"/>
  <c r="E2064" i="14"/>
  <c r="E2063" i="14"/>
  <c r="E2062" i="14"/>
  <c r="E2061" i="14"/>
  <c r="E2060" i="14"/>
  <c r="E2059" i="14"/>
  <c r="E2058" i="14"/>
  <c r="E2057" i="14"/>
  <c r="E2056" i="14"/>
  <c r="E2055" i="14"/>
  <c r="E2054" i="14"/>
  <c r="E2053" i="14"/>
  <c r="E2052" i="14"/>
  <c r="E2051" i="14"/>
  <c r="E2050" i="14"/>
  <c r="E2049" i="14"/>
  <c r="E2048" i="14"/>
  <c r="E2047" i="14"/>
  <c r="E2046" i="14"/>
  <c r="E2045" i="14"/>
  <c r="E2044" i="14"/>
  <c r="E2043" i="14"/>
  <c r="E2042" i="14"/>
  <c r="E2041" i="14"/>
  <c r="E2040" i="14"/>
  <c r="E2039" i="14"/>
  <c r="E2038" i="14"/>
  <c r="E2037" i="14"/>
  <c r="E2036" i="14"/>
  <c r="E2035" i="14"/>
  <c r="E2034" i="14"/>
  <c r="E2033" i="14"/>
  <c r="E2032" i="14"/>
  <c r="E2031" i="14"/>
  <c r="E2030" i="14"/>
  <c r="E2029" i="14"/>
  <c r="E2028" i="14"/>
  <c r="E2027" i="14"/>
  <c r="E2026" i="14"/>
  <c r="E2025" i="14"/>
  <c r="E2024" i="14"/>
  <c r="E2023" i="14"/>
  <c r="E2022" i="14"/>
  <c r="E2021" i="14"/>
  <c r="E2020" i="14"/>
  <c r="E2019" i="14"/>
  <c r="E2018" i="14"/>
  <c r="E2017" i="14"/>
  <c r="E2016" i="14"/>
  <c r="E2015" i="14"/>
  <c r="E2014" i="14"/>
  <c r="E2013" i="14"/>
  <c r="E2012" i="14"/>
  <c r="E2011" i="14"/>
  <c r="E2010" i="14"/>
  <c r="E2009" i="14"/>
  <c r="E2008" i="14"/>
  <c r="E2007" i="14"/>
  <c r="E2006" i="14"/>
  <c r="E2005" i="14"/>
  <c r="E2004" i="14"/>
  <c r="E2003" i="14"/>
  <c r="E2002" i="14"/>
  <c r="E2001" i="14"/>
  <c r="E2000" i="14"/>
  <c r="E1999" i="14"/>
  <c r="E1998" i="14"/>
  <c r="E1997" i="14"/>
  <c r="E1996" i="14"/>
  <c r="E1995" i="14"/>
  <c r="E1994" i="14"/>
  <c r="E1993" i="14"/>
  <c r="E1992" i="14"/>
  <c r="E1991" i="14"/>
  <c r="E1990" i="14"/>
  <c r="E1989" i="14"/>
  <c r="E1988" i="14"/>
  <c r="E1987" i="14"/>
  <c r="E1986" i="14"/>
  <c r="E1985" i="14"/>
  <c r="E1984" i="14"/>
  <c r="E1983" i="14"/>
  <c r="E1982" i="14"/>
  <c r="E1981" i="14"/>
  <c r="E1980" i="14"/>
  <c r="E1979" i="14"/>
  <c r="E1978" i="14"/>
  <c r="E1977" i="14"/>
  <c r="E1976" i="14"/>
  <c r="E1975" i="14"/>
  <c r="E1974" i="14"/>
  <c r="E1973" i="14"/>
  <c r="E1972" i="14"/>
  <c r="E1971" i="14"/>
  <c r="E1970" i="14"/>
  <c r="E1969" i="14"/>
  <c r="E1968" i="14"/>
  <c r="E1967" i="14"/>
  <c r="E1966" i="14"/>
  <c r="E1965" i="14"/>
  <c r="E1964" i="14"/>
  <c r="E1963" i="14"/>
  <c r="E1962" i="14"/>
  <c r="E1961" i="14"/>
  <c r="E1960" i="14"/>
  <c r="E1959" i="14"/>
  <c r="E1958" i="14"/>
  <c r="E1957" i="14"/>
  <c r="E1956" i="14"/>
  <c r="E1955" i="14"/>
  <c r="E1954" i="14"/>
  <c r="E1953" i="14"/>
  <c r="E1952" i="14"/>
  <c r="E1951" i="14"/>
  <c r="E1950" i="14"/>
  <c r="E1949" i="14"/>
  <c r="E1948" i="14"/>
  <c r="E1947" i="14"/>
  <c r="E1946" i="14"/>
  <c r="E1945" i="14"/>
  <c r="E1944" i="14"/>
  <c r="E1943" i="14"/>
  <c r="E1942" i="14"/>
  <c r="E1941" i="14"/>
  <c r="E1940" i="14"/>
  <c r="E1939" i="14"/>
  <c r="E1938" i="14"/>
  <c r="E1937" i="14"/>
  <c r="E1936" i="14"/>
  <c r="E1935" i="14"/>
  <c r="E1934" i="14"/>
  <c r="E1933" i="14"/>
  <c r="E1932" i="14"/>
  <c r="E1931" i="14"/>
  <c r="E1930" i="14"/>
  <c r="E1929" i="14"/>
  <c r="E1928" i="14"/>
  <c r="E1927" i="14"/>
  <c r="E1926" i="14"/>
  <c r="E1925" i="14"/>
  <c r="E1924" i="14"/>
  <c r="E1923" i="14"/>
  <c r="E1922" i="14"/>
  <c r="E1921" i="14"/>
  <c r="E1920" i="14"/>
  <c r="E1919" i="14"/>
  <c r="E1918" i="14"/>
  <c r="E1917" i="14"/>
  <c r="E1916" i="14"/>
  <c r="E1915" i="14"/>
  <c r="E1914" i="14"/>
  <c r="E1913" i="14"/>
  <c r="E1912" i="14"/>
  <c r="E1911" i="14"/>
  <c r="E1910" i="14"/>
  <c r="E1909" i="14"/>
  <c r="E1908" i="14"/>
  <c r="E1907" i="14"/>
  <c r="E1906" i="14"/>
  <c r="E1905" i="14"/>
  <c r="E1904" i="14"/>
  <c r="E1903" i="14"/>
  <c r="E1902" i="14"/>
  <c r="E1901" i="14"/>
  <c r="E1900" i="14"/>
  <c r="E1899" i="14"/>
  <c r="E1898" i="14"/>
  <c r="E1897" i="14"/>
  <c r="E1896" i="14"/>
  <c r="E1895" i="14"/>
  <c r="E1894" i="14"/>
  <c r="E1893" i="14"/>
  <c r="E1892" i="14"/>
  <c r="E1891" i="14"/>
  <c r="E1890" i="14"/>
  <c r="E1889" i="14"/>
  <c r="E1888" i="14"/>
  <c r="E1887" i="14"/>
  <c r="E1886" i="14"/>
  <c r="E1885" i="14"/>
  <c r="E1884" i="14"/>
  <c r="E1883" i="14"/>
  <c r="E1882" i="14"/>
  <c r="E1881" i="14"/>
  <c r="E1880" i="14"/>
  <c r="E1879" i="14"/>
  <c r="E1878" i="14"/>
  <c r="E1877" i="14"/>
  <c r="E1876" i="14"/>
  <c r="E1875" i="14"/>
  <c r="E1874" i="14"/>
  <c r="E1873" i="14"/>
  <c r="E1872" i="14"/>
  <c r="E1871" i="14"/>
  <c r="E1870" i="14"/>
  <c r="E1869" i="14"/>
  <c r="E1868" i="14"/>
  <c r="E1867" i="14"/>
  <c r="E1866" i="14"/>
  <c r="E1865" i="14"/>
  <c r="E1864" i="14"/>
  <c r="E1863" i="14"/>
  <c r="E1862" i="14"/>
  <c r="E1861" i="14"/>
  <c r="E1860" i="14"/>
  <c r="E1859" i="14"/>
  <c r="E1858" i="14"/>
  <c r="E1857" i="14"/>
  <c r="E1856" i="14"/>
  <c r="E1855" i="14"/>
  <c r="E1854" i="14"/>
  <c r="E1853" i="14"/>
  <c r="E1852" i="14"/>
  <c r="E1851" i="14"/>
  <c r="E1850" i="14"/>
  <c r="E1849" i="14"/>
  <c r="E1848" i="14"/>
  <c r="E1847" i="14"/>
  <c r="E1846" i="14"/>
  <c r="E1845" i="14"/>
  <c r="E1844" i="14"/>
  <c r="E1843" i="14"/>
  <c r="E1842" i="14"/>
  <c r="E1841" i="14"/>
  <c r="E1840" i="14"/>
  <c r="E1839" i="14"/>
  <c r="E1838" i="14"/>
  <c r="E1837" i="14"/>
  <c r="E1836" i="14"/>
  <c r="E1835" i="14"/>
  <c r="E1834" i="14"/>
  <c r="E1833" i="14"/>
  <c r="E1832" i="14"/>
  <c r="E1831" i="14"/>
  <c r="E1830" i="14"/>
  <c r="E1829" i="14"/>
  <c r="E1828" i="14"/>
  <c r="E1827" i="14"/>
  <c r="E1826" i="14"/>
  <c r="E1825" i="14"/>
  <c r="E1824" i="14"/>
  <c r="E1823" i="14"/>
  <c r="E1822" i="14"/>
  <c r="E1821" i="14"/>
  <c r="E1820" i="14"/>
  <c r="E1819" i="14"/>
  <c r="E1818" i="14"/>
  <c r="E1817" i="14"/>
  <c r="E1816" i="14"/>
  <c r="E1815" i="14"/>
  <c r="E1814" i="14"/>
  <c r="E1813" i="14"/>
  <c r="E1812" i="14"/>
  <c r="E1811" i="14"/>
  <c r="E1810" i="14"/>
  <c r="E1809" i="14"/>
  <c r="E1808" i="14"/>
  <c r="E1807" i="14"/>
  <c r="E1806" i="14"/>
  <c r="E1805" i="14"/>
  <c r="E1804" i="14"/>
  <c r="E1803" i="14"/>
  <c r="E1802" i="14"/>
  <c r="E1801" i="14"/>
  <c r="E1800" i="14"/>
  <c r="E1799" i="14"/>
  <c r="E1798" i="14"/>
  <c r="E1797" i="14"/>
  <c r="E1796" i="14"/>
  <c r="E1795" i="14"/>
  <c r="E1794" i="14"/>
  <c r="E1793" i="14"/>
  <c r="E1792" i="14"/>
  <c r="E1791" i="14"/>
  <c r="E1790" i="14"/>
  <c r="E1789" i="14"/>
  <c r="E1788" i="14"/>
  <c r="E1787" i="14"/>
  <c r="E1786" i="14"/>
  <c r="E1785" i="14"/>
  <c r="E1784" i="14"/>
  <c r="E1783" i="14"/>
  <c r="E1782" i="14"/>
  <c r="E1781" i="14"/>
  <c r="E1780" i="14"/>
  <c r="E1779" i="14"/>
  <c r="E1778" i="14"/>
  <c r="E1777" i="14"/>
  <c r="E1776" i="14"/>
  <c r="E1775" i="14"/>
  <c r="E1774" i="14"/>
  <c r="E1773" i="14"/>
  <c r="E1772" i="14"/>
  <c r="E1771" i="14"/>
  <c r="E1770" i="14"/>
  <c r="E1769" i="14"/>
  <c r="E1768" i="14"/>
  <c r="E1767" i="14"/>
  <c r="E1766" i="14"/>
  <c r="E1765" i="14"/>
  <c r="E1764" i="14"/>
  <c r="E1763" i="14"/>
  <c r="E1762" i="14"/>
  <c r="E1761" i="14"/>
  <c r="E1760" i="14"/>
  <c r="E1759" i="14"/>
  <c r="E1758" i="14"/>
  <c r="E1757" i="14"/>
  <c r="E1756" i="14"/>
  <c r="E1755" i="14"/>
  <c r="E1754" i="14"/>
  <c r="E1753" i="14"/>
  <c r="E1752" i="14"/>
  <c r="E1751" i="14"/>
  <c r="E1750" i="14"/>
  <c r="E1749" i="14"/>
  <c r="E1748" i="14"/>
  <c r="E1747" i="14"/>
  <c r="E1746" i="14"/>
  <c r="E1745" i="14"/>
  <c r="E1744" i="14"/>
  <c r="E1743" i="14"/>
  <c r="E1742" i="14"/>
  <c r="E1741" i="14"/>
  <c r="E1740" i="14"/>
  <c r="E1739" i="14"/>
  <c r="E1738" i="14"/>
  <c r="E1737" i="14"/>
  <c r="E1736" i="14"/>
  <c r="E1735" i="14"/>
  <c r="E1734" i="14"/>
  <c r="E1733" i="14"/>
  <c r="E1732" i="14"/>
  <c r="E1731" i="14"/>
  <c r="E1730" i="14"/>
  <c r="E1729" i="14"/>
  <c r="E1728" i="14"/>
  <c r="E1727" i="14"/>
  <c r="E1726" i="14"/>
  <c r="E1725" i="14"/>
  <c r="E1724" i="14"/>
  <c r="E1723" i="14"/>
  <c r="E1722" i="14"/>
  <c r="E1721" i="14"/>
  <c r="E1720" i="14"/>
  <c r="E1719" i="14"/>
  <c r="E1718" i="14"/>
  <c r="E1717" i="14"/>
  <c r="E1716" i="14"/>
  <c r="E1715" i="14"/>
  <c r="E1714" i="14"/>
  <c r="E1713" i="14"/>
  <c r="E1712" i="14"/>
  <c r="E1711" i="14"/>
  <c r="E1710" i="14"/>
  <c r="E1709" i="14"/>
  <c r="E1708" i="14"/>
  <c r="E1707" i="14"/>
  <c r="E1706" i="14"/>
  <c r="E1705" i="14"/>
  <c r="E1704" i="14"/>
  <c r="E1703" i="14"/>
  <c r="E1702" i="14"/>
  <c r="E1701" i="14"/>
  <c r="E1700" i="14"/>
  <c r="E1699" i="14"/>
  <c r="E1698" i="14"/>
  <c r="E1697" i="14"/>
  <c r="E1696" i="14"/>
  <c r="E1695" i="14"/>
  <c r="E1694" i="14"/>
  <c r="E1693" i="14"/>
  <c r="E1692" i="14"/>
  <c r="E1691" i="14"/>
  <c r="E1690" i="14"/>
  <c r="E1689" i="14"/>
  <c r="E1688" i="14"/>
  <c r="E1687" i="14"/>
  <c r="E1686" i="14"/>
  <c r="E1685" i="14"/>
  <c r="E1684" i="14"/>
  <c r="E1683" i="14"/>
  <c r="E1682" i="14"/>
  <c r="E1681" i="14"/>
  <c r="E1680" i="14"/>
  <c r="E1679" i="14"/>
  <c r="E1678" i="14"/>
  <c r="E1677" i="14"/>
  <c r="E1676" i="14"/>
  <c r="E1675" i="14"/>
  <c r="E1674" i="14"/>
  <c r="E1673" i="14"/>
  <c r="E1672" i="14"/>
  <c r="E1671" i="14"/>
  <c r="E1670" i="14"/>
  <c r="E1669" i="14"/>
  <c r="E1668" i="14"/>
  <c r="E1667" i="14"/>
  <c r="E1666" i="14"/>
  <c r="E1665" i="14"/>
  <c r="E1664" i="14"/>
  <c r="E1663" i="14"/>
  <c r="E1662" i="14"/>
  <c r="E1661" i="14"/>
  <c r="E1660" i="14"/>
  <c r="E1659" i="14"/>
  <c r="E1658" i="14"/>
  <c r="E1657" i="14"/>
  <c r="E1656" i="14"/>
  <c r="E1655" i="14"/>
  <c r="E1654" i="14"/>
  <c r="E1653" i="14"/>
  <c r="E1652" i="14"/>
  <c r="E1651" i="14"/>
  <c r="E1650" i="14"/>
  <c r="E1649" i="14"/>
  <c r="E1648" i="14"/>
  <c r="E1647" i="14"/>
  <c r="E1646" i="14"/>
  <c r="E1645" i="14"/>
  <c r="E1644" i="14"/>
  <c r="E1643" i="14"/>
  <c r="E1642" i="14"/>
  <c r="E1641" i="14"/>
  <c r="E1640" i="14"/>
  <c r="E1639" i="14"/>
  <c r="E1638" i="14"/>
  <c r="E1637" i="14"/>
  <c r="E1636" i="14"/>
  <c r="E1635" i="14"/>
  <c r="E1634" i="14"/>
  <c r="E1633" i="14"/>
  <c r="E1632" i="14"/>
  <c r="E1631" i="14"/>
  <c r="E1630" i="14"/>
  <c r="E1629" i="14"/>
  <c r="E1628" i="14"/>
  <c r="E1627" i="14"/>
  <c r="E1626" i="14"/>
  <c r="E1625" i="14"/>
  <c r="E1624" i="14"/>
  <c r="E1623" i="14"/>
  <c r="E1622" i="14"/>
  <c r="E1621" i="14"/>
  <c r="E1620" i="14"/>
  <c r="E1619" i="14"/>
  <c r="E1618" i="14"/>
  <c r="E1617" i="14"/>
  <c r="E1616" i="14"/>
  <c r="E1615" i="14"/>
  <c r="E1614" i="14"/>
  <c r="E1613" i="14"/>
  <c r="E1612" i="14"/>
  <c r="E1611" i="14"/>
  <c r="E1610" i="14"/>
  <c r="E1609" i="14"/>
  <c r="E1608" i="14"/>
  <c r="E1607" i="14"/>
  <c r="E1606" i="14"/>
  <c r="E1605" i="14"/>
  <c r="E1604" i="14"/>
  <c r="E1603" i="14"/>
  <c r="E1602" i="14"/>
  <c r="E1601" i="14"/>
  <c r="E1600" i="14"/>
  <c r="E1599" i="14"/>
  <c r="E1598" i="14"/>
  <c r="E1597" i="14"/>
  <c r="E1596" i="14"/>
  <c r="E1595" i="14"/>
  <c r="E1594" i="14"/>
  <c r="E1593" i="14"/>
  <c r="E1592" i="14"/>
  <c r="E1591" i="14"/>
  <c r="E1590" i="14"/>
  <c r="E1589" i="14"/>
  <c r="E1588" i="14"/>
  <c r="E1587" i="14"/>
  <c r="E1586" i="14"/>
  <c r="E1585" i="14"/>
  <c r="E1584" i="14"/>
  <c r="E1583" i="14"/>
  <c r="E1582" i="14"/>
  <c r="E1581" i="14"/>
  <c r="E1580" i="14"/>
  <c r="E1579" i="14"/>
  <c r="E1578" i="14"/>
  <c r="E1577" i="14"/>
  <c r="E1576" i="14"/>
  <c r="E1575" i="14"/>
  <c r="E1574" i="14"/>
  <c r="E1573" i="14"/>
  <c r="E1572" i="14"/>
  <c r="E1571" i="14"/>
  <c r="E1570" i="14"/>
  <c r="E1569" i="14"/>
  <c r="E1568" i="14"/>
  <c r="E1567" i="14"/>
  <c r="E1566" i="14"/>
  <c r="E1565" i="14"/>
  <c r="E1564" i="14"/>
  <c r="E1563" i="14"/>
  <c r="E1562" i="14"/>
  <c r="E1561" i="14"/>
  <c r="E1560" i="14"/>
  <c r="E1559" i="14"/>
  <c r="E1558" i="14"/>
  <c r="E1557" i="14"/>
  <c r="E1556" i="14"/>
  <c r="E1555" i="14"/>
  <c r="E1554" i="14"/>
  <c r="E1553" i="14"/>
  <c r="E1552" i="14"/>
  <c r="E1551" i="14"/>
  <c r="E1550" i="14"/>
  <c r="E1549" i="14"/>
  <c r="E1548" i="14"/>
  <c r="E1547" i="14"/>
  <c r="E1546" i="14"/>
  <c r="E1545" i="14"/>
  <c r="E1544" i="14"/>
  <c r="E1543" i="14"/>
  <c r="E1542" i="14"/>
  <c r="E1541" i="14"/>
  <c r="E1540" i="14"/>
  <c r="E1539" i="14"/>
  <c r="E1538" i="14"/>
  <c r="E1537" i="14"/>
  <c r="E1536" i="14"/>
  <c r="E1535" i="14"/>
  <c r="E1534" i="14"/>
  <c r="E1533" i="14"/>
  <c r="E1532" i="14"/>
  <c r="E1531" i="14"/>
  <c r="E1530" i="14"/>
  <c r="E1529" i="14"/>
  <c r="E1528" i="14"/>
  <c r="E1527" i="14"/>
  <c r="E1526" i="14"/>
  <c r="E1525" i="14"/>
  <c r="E1524" i="14"/>
  <c r="E1523" i="14"/>
  <c r="E1522" i="14"/>
  <c r="E1521" i="14"/>
  <c r="E1520" i="14"/>
  <c r="E1519" i="14"/>
  <c r="E1518" i="14"/>
  <c r="E1517" i="14"/>
  <c r="E1516" i="14"/>
  <c r="E1515" i="14"/>
  <c r="E1514" i="14"/>
  <c r="E1513" i="14"/>
  <c r="E1512" i="14"/>
  <c r="E1511" i="14"/>
  <c r="E1510" i="14"/>
  <c r="E1509" i="14"/>
  <c r="E1508" i="14"/>
  <c r="E1507" i="14"/>
  <c r="E1506" i="14"/>
  <c r="E1505" i="14"/>
  <c r="E1504" i="14"/>
  <c r="E1503" i="14"/>
  <c r="E1502" i="14"/>
  <c r="E1501" i="14"/>
  <c r="E1500" i="14"/>
  <c r="E1499" i="14"/>
  <c r="E1498" i="14"/>
  <c r="E1497" i="14"/>
  <c r="E1496" i="14"/>
  <c r="E1495" i="14"/>
  <c r="E1494" i="14"/>
  <c r="E1493" i="14"/>
  <c r="E1492" i="14"/>
  <c r="E1491" i="14"/>
  <c r="E1490" i="14"/>
  <c r="E1489" i="14"/>
  <c r="E1488" i="14"/>
  <c r="E1487" i="14"/>
  <c r="E1486" i="14"/>
  <c r="E1485" i="14"/>
  <c r="E1484" i="14"/>
  <c r="E1483" i="14"/>
  <c r="E1482" i="14"/>
  <c r="E1481" i="14"/>
  <c r="E1480" i="14"/>
  <c r="E1479" i="14"/>
  <c r="E1478" i="14"/>
  <c r="E1477" i="14"/>
  <c r="E1476" i="14"/>
  <c r="E1475" i="14"/>
  <c r="E1474" i="14"/>
  <c r="E1473" i="14"/>
  <c r="E1472" i="14"/>
  <c r="E1471" i="14"/>
  <c r="E1470" i="14"/>
  <c r="E1469" i="14"/>
  <c r="E1468" i="14"/>
  <c r="E1467" i="14"/>
  <c r="E1466" i="14"/>
  <c r="E1465" i="14"/>
  <c r="E1464" i="14"/>
  <c r="E1463" i="14"/>
  <c r="E1462" i="14"/>
  <c r="E1461" i="14"/>
  <c r="E1460" i="14"/>
  <c r="E1459" i="14"/>
  <c r="E1458" i="14"/>
  <c r="E1457" i="14"/>
  <c r="E1456" i="14"/>
  <c r="E1455" i="14"/>
  <c r="E1454" i="14"/>
  <c r="E1453" i="14"/>
  <c r="E1452" i="14"/>
  <c r="E1451" i="14"/>
  <c r="E1450" i="14"/>
  <c r="E1449" i="14"/>
  <c r="E1448" i="14"/>
  <c r="E1447" i="14"/>
  <c r="E1446" i="14"/>
  <c r="E1445" i="14"/>
  <c r="E1444" i="14"/>
  <c r="E1443" i="14"/>
  <c r="E1442" i="14"/>
  <c r="E1441" i="14"/>
  <c r="E1440" i="14"/>
  <c r="E1439" i="14"/>
  <c r="E1438" i="14"/>
  <c r="E1437" i="14"/>
  <c r="E1436" i="14"/>
  <c r="E1435" i="14"/>
  <c r="E1434" i="14"/>
  <c r="E1433" i="14"/>
  <c r="E1432" i="14"/>
  <c r="E1431" i="14"/>
  <c r="E1430" i="14"/>
  <c r="E1429" i="14"/>
  <c r="E1428" i="14"/>
  <c r="E1427" i="14"/>
  <c r="E1426" i="14"/>
  <c r="E1425" i="14"/>
  <c r="E1424" i="14"/>
  <c r="E1423" i="14"/>
  <c r="E1422" i="14"/>
  <c r="E1421" i="14"/>
  <c r="E1420" i="14"/>
  <c r="E1419" i="14"/>
  <c r="E1418" i="14"/>
  <c r="E1417" i="14"/>
  <c r="E1416" i="14"/>
  <c r="E1415" i="14"/>
  <c r="E1414" i="14"/>
  <c r="E1413" i="14"/>
  <c r="E1412" i="14"/>
  <c r="E1411" i="14"/>
  <c r="E1410" i="14"/>
  <c r="E1409" i="14"/>
  <c r="E1408" i="14"/>
  <c r="E1407" i="14"/>
  <c r="E1406" i="14"/>
  <c r="E1405" i="14"/>
  <c r="E1404" i="14"/>
  <c r="E1403" i="14"/>
  <c r="E1402" i="14"/>
  <c r="E1401" i="14"/>
  <c r="E1400" i="14"/>
  <c r="E1399" i="14"/>
  <c r="E1398" i="14"/>
  <c r="E1397" i="14"/>
  <c r="E1396" i="14"/>
  <c r="E1395" i="14"/>
  <c r="E1394" i="14"/>
  <c r="E1393" i="14"/>
  <c r="E1392" i="14"/>
  <c r="E1391" i="14"/>
  <c r="E1390" i="14"/>
  <c r="E1389" i="14"/>
  <c r="E1388" i="14"/>
  <c r="E1387" i="14"/>
  <c r="E1386" i="14"/>
  <c r="E1385" i="14"/>
  <c r="E1384" i="14"/>
  <c r="E1383" i="14"/>
  <c r="E1382" i="14"/>
  <c r="E1381" i="14"/>
  <c r="E1380" i="14"/>
  <c r="E1379" i="14"/>
  <c r="E1378" i="14"/>
  <c r="E1377" i="14"/>
  <c r="E1376" i="14"/>
  <c r="E1375" i="14"/>
  <c r="E1374" i="14"/>
  <c r="E1373" i="14"/>
  <c r="E1372" i="14"/>
  <c r="E1371" i="14"/>
  <c r="E1370" i="14"/>
  <c r="E1369" i="14"/>
  <c r="E1368" i="14"/>
  <c r="E1367" i="14"/>
  <c r="E1366" i="14"/>
  <c r="E1365" i="14"/>
  <c r="E1364" i="14"/>
  <c r="E1363" i="14"/>
  <c r="E1362" i="14"/>
  <c r="E1361" i="14"/>
  <c r="E1360" i="14"/>
  <c r="E1359" i="14"/>
  <c r="E1358" i="14"/>
  <c r="E1357" i="14"/>
  <c r="E1356" i="14"/>
  <c r="E1355" i="14"/>
  <c r="E1354" i="14"/>
  <c r="E1353" i="14"/>
  <c r="E1352" i="14"/>
  <c r="E1351" i="14"/>
  <c r="E1350" i="14"/>
  <c r="E1349" i="14"/>
  <c r="E1348" i="14"/>
  <c r="E1347" i="14"/>
  <c r="E1346" i="14"/>
  <c r="E1345" i="14"/>
  <c r="E1344" i="14"/>
  <c r="E1343" i="14"/>
  <c r="E1342" i="14"/>
  <c r="E1341" i="14"/>
  <c r="E1340" i="14"/>
  <c r="E1339" i="14"/>
  <c r="E1338" i="14"/>
  <c r="E1337" i="14"/>
  <c r="E1336" i="14"/>
  <c r="E1335" i="14"/>
  <c r="E1334" i="14"/>
  <c r="E1333" i="14"/>
  <c r="E1332" i="14"/>
  <c r="E1331" i="14"/>
  <c r="E1330" i="14"/>
  <c r="E1329" i="14"/>
  <c r="E1328" i="14"/>
  <c r="E1327" i="14"/>
  <c r="E1326" i="14"/>
  <c r="E1325" i="14"/>
  <c r="E1324" i="14"/>
  <c r="E1323" i="14"/>
  <c r="E1322" i="14"/>
  <c r="E1321" i="14"/>
  <c r="E1320" i="14"/>
  <c r="E1319" i="14"/>
  <c r="E1318" i="14"/>
  <c r="E1317" i="14"/>
  <c r="E1316" i="14"/>
  <c r="E1315" i="14"/>
  <c r="E1314" i="14"/>
  <c r="E1313" i="14"/>
  <c r="E1312" i="14"/>
  <c r="E1311" i="14"/>
  <c r="E1310" i="14"/>
  <c r="E1309" i="14"/>
  <c r="E1308" i="14"/>
  <c r="E1307" i="14"/>
  <c r="E1306" i="14"/>
  <c r="E1305" i="14"/>
  <c r="E1304" i="14"/>
  <c r="E1303" i="14"/>
  <c r="E1302" i="14"/>
  <c r="E1301" i="14"/>
  <c r="E1300" i="14"/>
  <c r="E1299" i="14"/>
  <c r="E1298" i="14"/>
  <c r="E1297" i="14"/>
  <c r="E1296" i="14"/>
  <c r="E1295" i="14"/>
  <c r="E1294" i="14"/>
  <c r="E1293" i="14"/>
  <c r="E1292" i="14"/>
  <c r="E1291" i="14"/>
  <c r="E1290" i="14"/>
  <c r="E1289" i="14"/>
  <c r="E1288" i="14"/>
  <c r="E1287" i="14"/>
  <c r="E1286" i="14"/>
  <c r="E1285" i="14"/>
  <c r="E1284" i="14"/>
  <c r="E1283" i="14"/>
  <c r="E1282" i="14"/>
  <c r="E1281" i="14"/>
  <c r="E1280" i="14"/>
  <c r="E1279" i="14"/>
  <c r="E1278" i="14"/>
  <c r="E1277" i="14"/>
  <c r="E1276" i="14"/>
  <c r="E1275" i="14"/>
  <c r="E1274" i="14"/>
  <c r="E1273" i="14"/>
  <c r="E1272" i="14"/>
  <c r="E1271" i="14"/>
  <c r="E1270" i="14"/>
  <c r="E1269" i="14"/>
  <c r="E1268" i="14"/>
  <c r="E1267" i="14"/>
  <c r="E1266" i="14"/>
  <c r="E1265" i="14"/>
  <c r="E1264" i="14"/>
  <c r="E1263" i="14"/>
  <c r="E1262" i="14"/>
  <c r="E1261" i="14"/>
  <c r="E1260" i="14"/>
  <c r="E1259" i="14"/>
  <c r="E1258" i="14"/>
  <c r="E1257" i="14"/>
  <c r="E1256" i="14"/>
  <c r="E1255" i="14"/>
  <c r="E1254" i="14"/>
  <c r="E1253" i="14"/>
  <c r="E1252" i="14"/>
  <c r="E1251" i="14"/>
  <c r="E1250" i="14"/>
  <c r="E1249" i="14"/>
  <c r="E1248" i="14"/>
  <c r="E1247" i="14"/>
  <c r="E1246" i="14"/>
  <c r="E1245" i="14"/>
  <c r="E1244" i="14"/>
  <c r="E1243" i="14"/>
  <c r="E1242" i="14"/>
  <c r="E1241" i="14"/>
  <c r="E1240" i="14"/>
  <c r="E1239" i="14"/>
  <c r="E1238" i="14"/>
  <c r="E1237" i="14"/>
  <c r="E1236" i="14"/>
  <c r="E1235" i="14"/>
  <c r="E1234" i="14"/>
  <c r="E1233" i="14"/>
  <c r="E1232" i="14"/>
  <c r="E1231" i="14"/>
  <c r="E1230" i="14"/>
  <c r="E1229" i="14"/>
  <c r="E1228" i="14"/>
  <c r="E1227" i="14"/>
  <c r="E1226" i="14"/>
  <c r="E1225" i="14"/>
  <c r="E1224" i="14"/>
  <c r="E1223" i="14"/>
  <c r="E1222" i="14"/>
  <c r="E1221" i="14"/>
  <c r="E1220" i="14"/>
  <c r="E1219" i="14"/>
  <c r="E1218" i="14"/>
  <c r="E1217" i="14"/>
  <c r="E1216" i="14"/>
  <c r="E1215" i="14"/>
  <c r="E1214" i="14"/>
  <c r="E1213" i="14"/>
  <c r="E1212" i="14"/>
  <c r="E1211" i="14"/>
  <c r="E1210" i="14"/>
  <c r="E1209" i="14"/>
  <c r="E1208" i="14"/>
  <c r="E1207" i="14"/>
  <c r="E1206" i="14"/>
  <c r="E1205" i="14"/>
  <c r="E1204" i="14"/>
  <c r="E1203" i="14"/>
  <c r="E1202" i="14"/>
  <c r="E1201" i="14"/>
  <c r="E1200" i="14"/>
  <c r="E1199" i="14"/>
  <c r="E1198" i="14"/>
  <c r="E1197" i="14"/>
  <c r="E1196" i="14"/>
  <c r="E1195" i="14"/>
  <c r="E1194" i="14"/>
  <c r="E1193" i="14"/>
  <c r="E1192" i="14"/>
  <c r="E1191" i="14"/>
  <c r="E1190" i="14"/>
  <c r="E1189" i="14"/>
  <c r="E1188" i="14"/>
  <c r="E1187" i="14"/>
  <c r="E1186" i="14"/>
  <c r="E1185" i="14"/>
  <c r="E1184" i="14"/>
  <c r="E1183" i="14"/>
  <c r="E1182" i="14"/>
  <c r="E1181" i="14"/>
  <c r="E1180" i="14"/>
  <c r="E1179" i="14"/>
  <c r="E1178" i="14"/>
  <c r="E1177" i="14"/>
  <c r="E1176" i="14"/>
  <c r="E1175" i="14"/>
  <c r="E1174" i="14"/>
  <c r="E1173" i="14"/>
  <c r="E1172" i="14"/>
  <c r="E1171" i="14"/>
  <c r="E1170" i="14"/>
  <c r="E1169" i="14"/>
  <c r="E1168" i="14"/>
  <c r="E1167" i="14"/>
  <c r="E1166" i="14"/>
  <c r="E1165" i="14"/>
  <c r="E1164" i="14"/>
  <c r="E1163" i="14"/>
  <c r="E1162" i="14"/>
  <c r="E1161" i="14"/>
  <c r="E1160" i="14"/>
  <c r="E1159" i="14"/>
  <c r="E1158" i="14"/>
  <c r="E1157" i="14"/>
  <c r="E1156" i="14"/>
  <c r="E1155" i="14"/>
  <c r="E1154" i="14"/>
  <c r="E1153" i="14"/>
  <c r="E1152" i="14"/>
  <c r="E1151" i="14"/>
  <c r="E1150" i="14"/>
  <c r="E1149" i="14"/>
  <c r="E1148" i="14"/>
  <c r="E1147" i="14"/>
  <c r="E1146" i="14"/>
  <c r="E1145" i="14"/>
  <c r="E1144" i="14"/>
  <c r="E1143" i="14"/>
  <c r="E1142" i="14"/>
  <c r="E1141" i="14"/>
  <c r="E1140" i="14"/>
  <c r="E1139" i="14"/>
  <c r="E1138" i="14"/>
  <c r="E1137" i="14"/>
  <c r="E1136" i="14"/>
  <c r="E1135" i="14"/>
  <c r="E1134" i="14"/>
  <c r="E1133" i="14"/>
  <c r="E1132" i="14"/>
  <c r="E1131" i="14"/>
  <c r="E1130" i="14"/>
  <c r="E1129" i="14"/>
  <c r="E1128" i="14"/>
  <c r="E1127" i="14"/>
  <c r="E1126" i="14"/>
  <c r="E1125" i="14"/>
  <c r="E1124" i="14"/>
  <c r="E1123" i="14"/>
  <c r="E1122" i="14"/>
  <c r="E1121" i="14"/>
  <c r="E1120" i="14"/>
  <c r="E1119" i="14"/>
  <c r="E1118" i="14"/>
  <c r="E1117" i="14"/>
  <c r="E1116" i="14"/>
  <c r="E1115" i="14"/>
  <c r="E1114" i="14"/>
  <c r="E1113" i="14"/>
  <c r="E1112" i="14"/>
  <c r="E1111" i="14"/>
  <c r="E1110" i="14"/>
  <c r="E1109" i="14"/>
  <c r="E1108" i="14"/>
  <c r="E1107" i="14"/>
  <c r="E1106" i="14"/>
  <c r="E1105" i="14"/>
  <c r="E1104" i="14"/>
  <c r="E1103" i="14"/>
  <c r="E1102" i="14"/>
  <c r="E1101" i="14"/>
  <c r="E1100" i="14"/>
  <c r="E1099" i="14"/>
  <c r="E1098" i="14"/>
  <c r="E1097" i="14"/>
  <c r="E1096" i="14"/>
  <c r="E1095" i="14"/>
  <c r="E1094" i="14"/>
  <c r="E1093" i="14"/>
  <c r="E1092" i="14"/>
  <c r="E1091" i="14"/>
  <c r="E1090" i="14"/>
  <c r="E1089" i="14"/>
  <c r="E1088" i="14"/>
  <c r="E1087" i="14"/>
  <c r="E1086" i="14"/>
  <c r="E1085" i="14"/>
  <c r="E1084" i="14"/>
  <c r="E1083" i="14"/>
  <c r="E1082" i="14"/>
  <c r="E1081" i="14"/>
  <c r="E1080" i="14"/>
  <c r="E1079" i="14"/>
  <c r="E1078" i="14"/>
  <c r="E1077" i="14"/>
  <c r="E1076" i="14"/>
  <c r="E1075" i="14"/>
  <c r="E1074" i="14"/>
  <c r="E1073" i="14"/>
  <c r="E1072" i="14"/>
  <c r="E1071" i="14"/>
  <c r="E1070" i="14"/>
  <c r="E1069" i="14"/>
  <c r="E1068" i="14"/>
  <c r="E1067" i="14"/>
  <c r="E1066" i="14"/>
  <c r="E1065" i="14"/>
  <c r="E1064" i="14"/>
  <c r="E1063" i="14"/>
  <c r="E1062" i="14"/>
  <c r="E1061" i="14"/>
  <c r="E1060" i="14"/>
  <c r="E1059" i="14"/>
  <c r="E1058" i="14"/>
  <c r="E1057" i="14"/>
  <c r="E1056" i="14"/>
  <c r="E1055" i="14"/>
  <c r="E1054" i="14"/>
  <c r="E1053" i="14"/>
  <c r="E1052" i="14"/>
  <c r="E1051" i="14"/>
  <c r="E1050" i="14"/>
  <c r="E1049" i="14"/>
  <c r="E1048" i="14"/>
  <c r="E1047" i="14"/>
  <c r="E1046" i="14"/>
  <c r="E1045" i="14"/>
  <c r="E1044" i="14"/>
  <c r="E1043" i="14"/>
  <c r="E1042" i="14"/>
  <c r="E1041" i="14"/>
  <c r="E1040" i="14"/>
  <c r="E1039" i="14"/>
  <c r="E1038" i="14"/>
  <c r="E1037" i="14"/>
  <c r="E1036" i="14"/>
  <c r="E1035" i="14"/>
  <c r="E1034" i="14"/>
  <c r="E1033" i="14"/>
  <c r="E1032" i="14"/>
  <c r="E1031" i="14"/>
  <c r="E1030" i="14"/>
  <c r="E1029" i="14"/>
  <c r="E1028" i="14"/>
  <c r="E1027" i="14"/>
  <c r="E1026" i="14"/>
  <c r="E1025" i="14"/>
  <c r="E1024" i="14"/>
  <c r="E1023" i="14"/>
  <c r="E1022" i="14"/>
  <c r="E1021" i="14"/>
  <c r="E1020" i="14"/>
  <c r="E1019" i="14"/>
  <c r="E1018" i="14"/>
  <c r="E1017" i="14"/>
  <c r="E1016" i="14"/>
  <c r="E1015" i="14"/>
  <c r="E1014" i="14"/>
  <c r="E1013" i="14"/>
  <c r="E1012" i="14"/>
  <c r="E1011" i="14"/>
  <c r="E1010" i="14"/>
  <c r="E1009" i="14"/>
  <c r="E1008" i="14"/>
  <c r="E1007" i="14"/>
  <c r="E1006" i="14"/>
  <c r="E1005" i="14"/>
  <c r="E1004" i="14"/>
  <c r="E1003" i="14"/>
  <c r="E1002" i="14"/>
  <c r="E1001" i="14"/>
  <c r="E1000" i="14"/>
  <c r="E999" i="14"/>
  <c r="E998" i="14"/>
  <c r="E997" i="14"/>
  <c r="E996" i="14"/>
  <c r="E995" i="14"/>
  <c r="E994" i="14"/>
  <c r="E993" i="14"/>
  <c r="E992" i="14"/>
  <c r="E991" i="14"/>
  <c r="E990" i="14"/>
  <c r="E989" i="14"/>
  <c r="E988" i="14"/>
  <c r="E987" i="14"/>
  <c r="E986" i="14"/>
  <c r="E985" i="14"/>
  <c r="E984" i="14"/>
  <c r="E983" i="14"/>
  <c r="E982" i="14"/>
  <c r="E981" i="14"/>
  <c r="E980" i="14"/>
  <c r="E979" i="14"/>
  <c r="E978" i="14"/>
  <c r="E977" i="14"/>
  <c r="E976" i="14"/>
  <c r="E975" i="14"/>
  <c r="E974" i="14"/>
  <c r="E973" i="14"/>
  <c r="E972" i="14"/>
  <c r="E971" i="14"/>
  <c r="E970" i="14"/>
  <c r="E969" i="14"/>
  <c r="E968" i="14"/>
  <c r="E967" i="14"/>
  <c r="E966" i="14"/>
  <c r="E965" i="14"/>
  <c r="E964" i="14"/>
  <c r="E963" i="14"/>
  <c r="E962" i="14"/>
  <c r="E961" i="14"/>
  <c r="E960" i="14"/>
  <c r="E959" i="14"/>
  <c r="E958" i="14"/>
  <c r="E957" i="14"/>
  <c r="E956" i="14"/>
  <c r="E955" i="14"/>
  <c r="E954" i="14"/>
  <c r="E953" i="14"/>
  <c r="E952" i="14"/>
  <c r="E951" i="14"/>
  <c r="E950" i="14"/>
  <c r="E949" i="14"/>
  <c r="E948" i="14"/>
  <c r="E947" i="14"/>
  <c r="E946" i="14"/>
  <c r="E945" i="14"/>
  <c r="E944" i="14"/>
  <c r="E943" i="14"/>
  <c r="E942" i="14"/>
  <c r="E941" i="14"/>
  <c r="E940" i="14"/>
  <c r="E939" i="14"/>
  <c r="E938" i="14"/>
  <c r="E937" i="14"/>
  <c r="E936" i="14"/>
  <c r="E935" i="14"/>
  <c r="E934" i="14"/>
  <c r="E933" i="14"/>
  <c r="E932" i="14"/>
  <c r="E931" i="14"/>
  <c r="E930" i="14"/>
  <c r="E929" i="14"/>
  <c r="E928" i="14"/>
  <c r="E927" i="14"/>
  <c r="E926" i="14"/>
  <c r="E925" i="14"/>
  <c r="E924" i="14"/>
  <c r="E923" i="14"/>
  <c r="E922" i="14"/>
  <c r="E921" i="14"/>
  <c r="E920" i="14"/>
  <c r="E919" i="14"/>
  <c r="E918" i="14"/>
  <c r="E917" i="14"/>
  <c r="E916" i="14"/>
  <c r="E915" i="14"/>
  <c r="E914" i="14"/>
  <c r="E913" i="14"/>
  <c r="E912" i="14"/>
  <c r="E911" i="14"/>
  <c r="E910" i="14"/>
  <c r="E909" i="14"/>
  <c r="E908" i="14"/>
  <c r="E907" i="14"/>
  <c r="E906" i="14"/>
  <c r="E905" i="14"/>
  <c r="E904" i="14"/>
  <c r="E903" i="14"/>
  <c r="E902" i="14"/>
  <c r="E901" i="14"/>
  <c r="E900" i="14"/>
  <c r="E899" i="14"/>
  <c r="E898" i="14"/>
  <c r="E897" i="14"/>
  <c r="E896" i="14"/>
  <c r="E895" i="14"/>
  <c r="E894" i="14"/>
  <c r="E893" i="14"/>
  <c r="E892" i="14"/>
  <c r="E891" i="14"/>
  <c r="E890" i="14"/>
  <c r="E889" i="14"/>
  <c r="E888" i="14"/>
  <c r="E887" i="14"/>
  <c r="E886" i="14"/>
  <c r="E885" i="14"/>
  <c r="E884" i="14"/>
  <c r="E883" i="14"/>
  <c r="E882" i="14"/>
  <c r="E881" i="14"/>
  <c r="E880" i="14"/>
  <c r="E879" i="14"/>
  <c r="E878" i="14"/>
  <c r="E877" i="14"/>
  <c r="E876" i="14"/>
  <c r="E875" i="14"/>
  <c r="E874" i="14"/>
  <c r="E873" i="14"/>
  <c r="E872" i="14"/>
  <c r="E871" i="14"/>
  <c r="E870" i="14"/>
  <c r="E869" i="14"/>
  <c r="E868" i="14"/>
  <c r="E867" i="14"/>
  <c r="E866" i="14"/>
  <c r="E865" i="14"/>
  <c r="E864" i="14"/>
  <c r="E863" i="14"/>
  <c r="E862" i="14"/>
  <c r="E861" i="14"/>
  <c r="E860" i="14"/>
  <c r="E859" i="14"/>
  <c r="E858" i="14"/>
  <c r="E857" i="14"/>
  <c r="E856" i="14"/>
  <c r="E855" i="14"/>
  <c r="E854" i="14"/>
  <c r="E853" i="14"/>
  <c r="E852" i="14"/>
  <c r="E851" i="14"/>
  <c r="E850" i="14"/>
  <c r="E849" i="14"/>
  <c r="E848" i="14"/>
  <c r="E847" i="14"/>
  <c r="E846" i="14"/>
  <c r="E845" i="14"/>
  <c r="E844" i="14"/>
  <c r="E843" i="14"/>
  <c r="E842" i="14"/>
  <c r="E841" i="14"/>
  <c r="E840" i="14"/>
  <c r="E839" i="14"/>
  <c r="E838" i="14"/>
  <c r="E837" i="14"/>
  <c r="E836" i="14"/>
  <c r="E835" i="14"/>
  <c r="E834" i="14"/>
  <c r="E833" i="14"/>
  <c r="E832" i="14"/>
  <c r="E831" i="14"/>
  <c r="E830" i="14"/>
  <c r="E829" i="14"/>
  <c r="E828" i="14"/>
  <c r="E827" i="14"/>
  <c r="E826" i="14"/>
  <c r="E825" i="14"/>
  <c r="E824" i="14"/>
  <c r="E823" i="14"/>
  <c r="E822" i="14"/>
  <c r="E821" i="14"/>
  <c r="E820" i="14"/>
  <c r="E819" i="14"/>
  <c r="E818" i="14"/>
  <c r="E817" i="14"/>
  <c r="E816" i="14"/>
  <c r="E815" i="14"/>
  <c r="E814" i="14"/>
  <c r="E813" i="14"/>
  <c r="E812" i="14"/>
  <c r="E811" i="14"/>
  <c r="E810" i="14"/>
  <c r="E809" i="14"/>
  <c r="E808" i="14"/>
  <c r="E807" i="14"/>
  <c r="E806" i="14"/>
  <c r="E805" i="14"/>
  <c r="E804" i="14"/>
  <c r="E803" i="14"/>
  <c r="E802" i="14"/>
  <c r="E801" i="14"/>
  <c r="E800" i="14"/>
  <c r="E799" i="14"/>
  <c r="E798" i="14"/>
  <c r="E797" i="14"/>
  <c r="E796" i="14"/>
  <c r="E795" i="14"/>
  <c r="E794" i="14"/>
  <c r="E793" i="14"/>
  <c r="E792" i="14"/>
  <c r="E791" i="14"/>
  <c r="E790" i="14"/>
  <c r="E789" i="14"/>
  <c r="E788" i="14"/>
  <c r="E787" i="14"/>
  <c r="E786" i="14"/>
  <c r="E785" i="14"/>
  <c r="E784" i="14"/>
  <c r="E783" i="14"/>
  <c r="E782" i="14"/>
  <c r="E781" i="14"/>
  <c r="E780" i="14"/>
  <c r="E779" i="14"/>
  <c r="E778" i="14"/>
  <c r="E777" i="14"/>
  <c r="E776" i="14"/>
  <c r="E775" i="14"/>
  <c r="E774" i="14"/>
  <c r="E773" i="14"/>
  <c r="E772" i="14"/>
  <c r="E771" i="14"/>
  <c r="E770" i="14"/>
  <c r="E769" i="14"/>
  <c r="E768" i="14"/>
  <c r="E767" i="14"/>
  <c r="E766" i="14"/>
  <c r="E765" i="14"/>
  <c r="E764" i="14"/>
  <c r="E763" i="14"/>
  <c r="E762" i="14"/>
  <c r="E761" i="14"/>
  <c r="E760" i="14"/>
  <c r="E759" i="14"/>
  <c r="E758" i="14"/>
  <c r="E757" i="14"/>
  <c r="E756" i="14"/>
  <c r="E755" i="14"/>
  <c r="E754" i="14"/>
  <c r="E753" i="14"/>
  <c r="E752" i="14"/>
  <c r="E751" i="14"/>
  <c r="E750" i="14"/>
  <c r="E749" i="14"/>
  <c r="E748" i="14"/>
  <c r="E747" i="14"/>
  <c r="E746" i="14"/>
  <c r="E745" i="14"/>
  <c r="E744" i="14"/>
  <c r="E743" i="14"/>
  <c r="E742" i="14"/>
  <c r="E741" i="14"/>
  <c r="E740" i="14"/>
  <c r="E739" i="14"/>
  <c r="E738" i="14"/>
  <c r="E737" i="14"/>
  <c r="E736" i="14"/>
  <c r="E735" i="14"/>
  <c r="E734" i="14"/>
  <c r="E733" i="14"/>
  <c r="E732" i="14"/>
  <c r="E731" i="14"/>
  <c r="E730" i="14"/>
  <c r="E729" i="14"/>
  <c r="E728" i="14"/>
  <c r="E727" i="14"/>
  <c r="E726" i="14"/>
  <c r="E725" i="14"/>
  <c r="E724" i="14"/>
  <c r="E723" i="14"/>
  <c r="E722" i="14"/>
  <c r="E721" i="14"/>
  <c r="E720" i="14"/>
  <c r="E719" i="14"/>
  <c r="E718" i="14"/>
  <c r="E717" i="14"/>
  <c r="E716" i="14"/>
  <c r="E715" i="14"/>
  <c r="E714" i="14"/>
  <c r="E713" i="14"/>
  <c r="E712" i="14"/>
  <c r="E711" i="14"/>
  <c r="E710" i="14"/>
  <c r="E709" i="14"/>
  <c r="E708" i="14"/>
  <c r="E707" i="14"/>
  <c r="E706" i="14"/>
  <c r="E705" i="14"/>
  <c r="E704" i="14"/>
  <c r="E703" i="14"/>
  <c r="E702" i="14"/>
  <c r="E701" i="14"/>
  <c r="E700" i="14"/>
  <c r="E699" i="14"/>
  <c r="E698" i="14"/>
  <c r="E697" i="14"/>
  <c r="E696" i="14"/>
  <c r="E695" i="14"/>
  <c r="E694" i="14"/>
  <c r="E693" i="14"/>
  <c r="E692" i="14"/>
  <c r="E691" i="14"/>
  <c r="E690" i="14"/>
  <c r="E689" i="14"/>
  <c r="E688" i="14"/>
  <c r="E687" i="14"/>
  <c r="E68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E627" i="14"/>
  <c r="E626" i="14"/>
  <c r="E625" i="14"/>
  <c r="E624" i="14"/>
  <c r="E623" i="14"/>
  <c r="E622" i="14"/>
  <c r="E621" i="14"/>
  <c r="E620" i="14"/>
  <c r="E619" i="14"/>
  <c r="E618" i="14"/>
  <c r="E617" i="14"/>
  <c r="E616" i="14"/>
  <c r="E615" i="14"/>
  <c r="E614" i="14"/>
  <c r="E613" i="14"/>
  <c r="E612" i="14"/>
  <c r="E611" i="14"/>
  <c r="E610" i="14"/>
  <c r="E609" i="14"/>
  <c r="E608" i="14"/>
  <c r="E607" i="14"/>
  <c r="E606" i="14"/>
  <c r="E605" i="14"/>
  <c r="E604" i="14"/>
  <c r="E603" i="14"/>
  <c r="E602" i="14"/>
  <c r="E601" i="14"/>
  <c r="E600" i="14"/>
  <c r="E599" i="14"/>
  <c r="E598" i="14"/>
  <c r="E597" i="14"/>
  <c r="E596" i="14"/>
  <c r="E595" i="14"/>
  <c r="E594" i="14"/>
  <c r="E593" i="14"/>
  <c r="E592" i="14"/>
  <c r="E591" i="14"/>
  <c r="E590" i="14"/>
  <c r="E589" i="14"/>
  <c r="E588" i="14"/>
  <c r="E587" i="14"/>
  <c r="E586" i="14"/>
  <c r="E585" i="14"/>
  <c r="E584" i="14"/>
  <c r="E583" i="14"/>
  <c r="E582" i="14"/>
  <c r="E581" i="14"/>
  <c r="E580" i="14"/>
  <c r="E579" i="14"/>
  <c r="E578" i="14"/>
  <c r="E577" i="14"/>
  <c r="E576" i="14"/>
  <c r="E575" i="14"/>
  <c r="E574" i="14"/>
  <c r="E573" i="14"/>
  <c r="E572" i="14"/>
  <c r="E571" i="14"/>
  <c r="E570" i="14"/>
  <c r="E569" i="14"/>
  <c r="E568" i="14"/>
  <c r="E567" i="14"/>
  <c r="E566" i="14"/>
  <c r="E565" i="14"/>
  <c r="E564" i="14"/>
  <c r="E563" i="14"/>
  <c r="E562" i="14"/>
  <c r="E561" i="14"/>
  <c r="E560" i="14"/>
  <c r="E559" i="14"/>
  <c r="E558" i="14"/>
  <c r="E557" i="14"/>
  <c r="E556" i="14"/>
  <c r="E555" i="14"/>
  <c r="E554" i="14"/>
  <c r="E553" i="14"/>
  <c r="E552" i="14"/>
  <c r="E551" i="14"/>
  <c r="E550" i="14"/>
  <c r="E549" i="14"/>
  <c r="E548" i="14"/>
  <c r="E547" i="14"/>
  <c r="E546" i="14"/>
  <c r="E545" i="14"/>
  <c r="E544" i="14"/>
  <c r="E543" i="14"/>
  <c r="E542" i="14"/>
  <c r="E541" i="14"/>
  <c r="E540" i="14"/>
  <c r="E539" i="14"/>
  <c r="E538" i="14"/>
  <c r="E537" i="14"/>
  <c r="E536" i="14"/>
  <c r="E535" i="14"/>
  <c r="E534" i="14"/>
  <c r="E533" i="14"/>
  <c r="E532" i="14"/>
  <c r="E531" i="14"/>
  <c r="E530" i="14"/>
  <c r="E529" i="14"/>
  <c r="E528" i="14"/>
  <c r="E527" i="14"/>
  <c r="E526" i="14"/>
  <c r="E525" i="14"/>
  <c r="E524" i="14"/>
  <c r="E523" i="14"/>
  <c r="E522" i="14"/>
  <c r="E521" i="14"/>
  <c r="E520" i="14"/>
  <c r="E519" i="14"/>
  <c r="E518" i="14"/>
  <c r="E517" i="14"/>
  <c r="E516" i="14"/>
  <c r="E515" i="14"/>
  <c r="E514" i="14"/>
  <c r="E513" i="14"/>
  <c r="E512" i="14"/>
  <c r="E511" i="14"/>
  <c r="E510" i="14"/>
  <c r="E509" i="14"/>
  <c r="E508" i="14"/>
  <c r="E507" i="14"/>
  <c r="E506" i="14"/>
  <c r="E505" i="14"/>
  <c r="E504" i="14"/>
  <c r="E503" i="14"/>
  <c r="E502" i="14"/>
  <c r="E501" i="14"/>
  <c r="E500" i="14"/>
  <c r="E499" i="14"/>
  <c r="E498" i="14"/>
  <c r="E497" i="14"/>
  <c r="E496" i="14"/>
  <c r="E495" i="14"/>
  <c r="E494" i="14"/>
  <c r="E493" i="14"/>
  <c r="E492" i="14"/>
  <c r="E491" i="14"/>
  <c r="E490" i="14"/>
  <c r="E489" i="14"/>
  <c r="E488" i="14"/>
  <c r="E487" i="14"/>
  <c r="E486" i="14"/>
  <c r="E485" i="14"/>
  <c r="E484" i="14"/>
  <c r="E483" i="14"/>
  <c r="E482" i="14"/>
  <c r="E481" i="14"/>
  <c r="E480" i="14"/>
  <c r="E479" i="14"/>
  <c r="E478" i="14"/>
  <c r="E477" i="14"/>
  <c r="E476" i="14"/>
  <c r="E475" i="14"/>
  <c r="E474" i="14"/>
  <c r="E473" i="14"/>
  <c r="E472" i="14"/>
  <c r="E471" i="14"/>
  <c r="E470" i="14"/>
  <c r="E469" i="14"/>
  <c r="E468" i="14"/>
  <c r="E467" i="14"/>
  <c r="E466" i="14"/>
  <c r="E465" i="14"/>
  <c r="E464" i="14"/>
  <c r="E463" i="14"/>
  <c r="E462" i="14"/>
  <c r="E461" i="14"/>
  <c r="E460" i="14"/>
  <c r="E459" i="14"/>
  <c r="E458" i="14"/>
  <c r="E457" i="14"/>
  <c r="E456" i="14"/>
  <c r="E455" i="14"/>
  <c r="E454" i="14"/>
  <c r="E453" i="14"/>
  <c r="E452" i="14"/>
  <c r="E451" i="14"/>
  <c r="E450" i="14"/>
  <c r="E449" i="14"/>
  <c r="E448" i="14"/>
  <c r="E447" i="14"/>
  <c r="E446" i="14"/>
  <c r="E445" i="14"/>
  <c r="E444" i="14"/>
  <c r="E443" i="14"/>
  <c r="E442" i="14"/>
  <c r="E441" i="14"/>
  <c r="E440" i="14"/>
  <c r="E439" i="14"/>
  <c r="E438" i="14"/>
  <c r="E437" i="14"/>
  <c r="E436" i="14"/>
  <c r="E435" i="14"/>
  <c r="E434" i="14"/>
  <c r="E433" i="14"/>
  <c r="E432" i="14"/>
  <c r="E431" i="14"/>
  <c r="E430" i="14"/>
  <c r="E429" i="14"/>
  <c r="E428" i="14"/>
  <c r="E427" i="14"/>
  <c r="E426" i="14"/>
  <c r="E425" i="14"/>
  <c r="E424" i="14"/>
  <c r="E423" i="14"/>
  <c r="E422" i="14"/>
  <c r="E421" i="14"/>
  <c r="E420" i="14"/>
  <c r="E419" i="14"/>
  <c r="E418" i="14"/>
  <c r="E417" i="14"/>
  <c r="E416" i="14"/>
  <c r="E415" i="14"/>
  <c r="E414" i="14"/>
  <c r="E413" i="14"/>
  <c r="E412" i="14"/>
  <c r="E411" i="14"/>
  <c r="E410" i="14"/>
  <c r="E409" i="14"/>
  <c r="E408" i="14"/>
  <c r="E407" i="14"/>
  <c r="E406" i="14"/>
  <c r="E405" i="14"/>
  <c r="E404" i="14"/>
  <c r="E403" i="14"/>
  <c r="E402" i="14"/>
  <c r="E401" i="14"/>
  <c r="E400" i="14"/>
  <c r="E399" i="14"/>
  <c r="E398" i="14"/>
  <c r="E397" i="14"/>
  <c r="E396" i="14"/>
  <c r="E395" i="14"/>
  <c r="E394" i="14"/>
  <c r="E393" i="14"/>
  <c r="E392" i="14"/>
  <c r="E391" i="14"/>
  <c r="E390" i="14"/>
  <c r="E389" i="14"/>
  <c r="E388" i="14"/>
  <c r="E387" i="14"/>
  <c r="E386" i="14"/>
  <c r="E385" i="14"/>
  <c r="E384" i="14"/>
  <c r="E383" i="14"/>
  <c r="E382" i="14"/>
  <c r="E381" i="14"/>
  <c r="E380" i="14"/>
  <c r="E379" i="14"/>
  <c r="E378" i="14"/>
  <c r="E377" i="14"/>
  <c r="E376" i="14"/>
  <c r="E375" i="14"/>
  <c r="E374" i="14"/>
  <c r="E373" i="14"/>
  <c r="E372" i="14"/>
  <c r="E371" i="14"/>
  <c r="E370" i="14"/>
  <c r="E369" i="14"/>
  <c r="E368" i="14"/>
  <c r="E367" i="14"/>
  <c r="E366" i="14"/>
  <c r="E365" i="14"/>
  <c r="E364" i="14"/>
  <c r="E363" i="14"/>
  <c r="E362" i="14"/>
  <c r="E361" i="14"/>
  <c r="E360" i="14"/>
  <c r="E359" i="14"/>
  <c r="E358" i="14"/>
  <c r="E357" i="14"/>
  <c r="E356" i="14"/>
  <c r="E355" i="14"/>
  <c r="E354" i="14"/>
  <c r="E353" i="14"/>
  <c r="E352" i="14"/>
  <c r="E351" i="14"/>
  <c r="E350" i="14"/>
  <c r="E349" i="14"/>
  <c r="E348" i="14"/>
  <c r="E347" i="14"/>
  <c r="E346" i="14"/>
  <c r="E345" i="14"/>
  <c r="E344" i="14"/>
  <c r="E343" i="14"/>
  <c r="E342" i="14"/>
  <c r="E341" i="14"/>
  <c r="E340" i="14"/>
  <c r="E339" i="14"/>
  <c r="E338" i="14"/>
  <c r="E337" i="14"/>
  <c r="E336" i="14"/>
  <c r="E335" i="14"/>
  <c r="E334" i="14"/>
  <c r="E333" i="14"/>
  <c r="E332" i="14"/>
  <c r="E331" i="14"/>
  <c r="E330" i="14"/>
  <c r="E329" i="14"/>
  <c r="E328" i="14"/>
  <c r="E327" i="14"/>
  <c r="E326" i="14"/>
  <c r="E325" i="14"/>
  <c r="E324" i="14"/>
  <c r="E323" i="14"/>
  <c r="E322" i="14"/>
  <c r="E321" i="14"/>
  <c r="E320" i="14"/>
  <c r="E319" i="14"/>
  <c r="E318" i="14"/>
  <c r="E317" i="14"/>
  <c r="E316" i="14"/>
  <c r="E315" i="14"/>
  <c r="E314" i="14"/>
  <c r="E313" i="14"/>
  <c r="E312" i="14"/>
  <c r="E311" i="14"/>
  <c r="E310" i="14"/>
  <c r="E309" i="14"/>
  <c r="E308" i="14"/>
  <c r="E307" i="14"/>
  <c r="E306" i="14"/>
  <c r="E305" i="14"/>
  <c r="E304" i="14"/>
  <c r="E303" i="14"/>
  <c r="E302" i="14"/>
  <c r="E301" i="14"/>
  <c r="E300" i="14"/>
  <c r="E299" i="14"/>
  <c r="E298" i="14"/>
  <c r="E297" i="14"/>
  <c r="E296" i="14"/>
  <c r="E295" i="14"/>
  <c r="E294" i="14"/>
  <c r="E293" i="14"/>
  <c r="E292" i="14"/>
  <c r="E291" i="14"/>
  <c r="E290" i="14"/>
  <c r="E289" i="14"/>
  <c r="E288" i="14"/>
  <c r="E287" i="14"/>
  <c r="E286" i="14"/>
  <c r="E285" i="14"/>
  <c r="E284" i="14"/>
  <c r="E283" i="14"/>
  <c r="E282" i="14"/>
  <c r="E281" i="14"/>
  <c r="E280" i="14"/>
  <c r="E279" i="14"/>
  <c r="E278" i="14"/>
  <c r="E277" i="14"/>
  <c r="E276" i="14"/>
  <c r="E275" i="14"/>
  <c r="E274" i="14"/>
  <c r="E273" i="14"/>
  <c r="E272" i="14"/>
  <c r="E271" i="14"/>
  <c r="E270" i="14"/>
  <c r="E269" i="14"/>
  <c r="E268" i="14"/>
  <c r="E267" i="14"/>
  <c r="E266" i="14"/>
  <c r="E265" i="14"/>
  <c r="E264" i="14"/>
  <c r="E263" i="14"/>
  <c r="E262" i="14"/>
  <c r="E261" i="14"/>
  <c r="E260" i="14"/>
  <c r="E259" i="14"/>
  <c r="E258" i="14"/>
  <c r="E257" i="14"/>
  <c r="E256" i="14"/>
  <c r="E255" i="14"/>
  <c r="E254" i="14"/>
  <c r="E253" i="14"/>
  <c r="E252" i="14"/>
  <c r="E251" i="14"/>
  <c r="E250" i="14"/>
  <c r="E249" i="14"/>
  <c r="E248" i="14"/>
  <c r="E247" i="14"/>
  <c r="E246" i="14"/>
  <c r="E245" i="14"/>
  <c r="E244" i="14"/>
  <c r="E243" i="14"/>
  <c r="E242" i="14"/>
  <c r="E241" i="14"/>
  <c r="E240" i="14"/>
  <c r="E239" i="14"/>
  <c r="E238" i="14"/>
  <c r="E237" i="14"/>
  <c r="E236" i="14"/>
  <c r="E235" i="14"/>
  <c r="E234" i="14"/>
  <c r="E233" i="14"/>
  <c r="E232" i="14"/>
  <c r="E231" i="14"/>
  <c r="E230" i="14"/>
  <c r="E229" i="14"/>
  <c r="E228" i="14"/>
  <c r="E227" i="14"/>
  <c r="E226" i="14"/>
  <c r="E225" i="14"/>
  <c r="E224" i="14"/>
  <c r="E223" i="14"/>
  <c r="E222" i="14"/>
  <c r="E221" i="14"/>
  <c r="E220" i="14"/>
  <c r="E219" i="14"/>
  <c r="E218" i="14"/>
  <c r="E217" i="14"/>
  <c r="E216" i="14"/>
  <c r="E215" i="14"/>
  <c r="E214" i="14"/>
  <c r="E213" i="14"/>
  <c r="E212" i="14"/>
  <c r="E211" i="14"/>
  <c r="E210" i="14"/>
  <c r="E209" i="14"/>
  <c r="E208" i="14"/>
  <c r="E207" i="14"/>
  <c r="E206" i="14"/>
  <c r="E205" i="14"/>
  <c r="E204" i="14"/>
  <c r="E203" i="14"/>
  <c r="E202" i="14"/>
  <c r="E201" i="14"/>
  <c r="E200" i="14"/>
  <c r="E199" i="14"/>
  <c r="E198" i="14"/>
  <c r="E197" i="14"/>
  <c r="E196" i="14"/>
  <c r="E195" i="14"/>
  <c r="E194" i="14"/>
  <c r="E193" i="14"/>
  <c r="E192" i="14"/>
  <c r="E191" i="14"/>
  <c r="E190" i="14"/>
  <c r="E189" i="14"/>
  <c r="E188" i="14"/>
  <c r="E187" i="14"/>
  <c r="E186" i="14"/>
  <c r="E185" i="14"/>
  <c r="E184" i="14"/>
  <c r="E183" i="14"/>
  <c r="E182" i="14"/>
  <c r="E181" i="14"/>
  <c r="E180" i="14"/>
  <c r="E179" i="14"/>
  <c r="E178" i="14"/>
  <c r="E177" i="14"/>
  <c r="E176" i="14"/>
  <c r="E175" i="14"/>
  <c r="E174" i="14"/>
  <c r="E173" i="14"/>
  <c r="E172" i="14"/>
  <c r="E171" i="14"/>
  <c r="E170" i="14"/>
  <c r="E169" i="14"/>
  <c r="E168" i="14"/>
  <c r="E167" i="14"/>
  <c r="E166" i="14"/>
  <c r="E165" i="14"/>
  <c r="E164" i="14"/>
  <c r="E163" i="14"/>
  <c r="E162" i="14"/>
  <c r="E161" i="14"/>
  <c r="E160" i="14"/>
  <c r="E159" i="14"/>
  <c r="E158" i="14"/>
  <c r="E157" i="14"/>
  <c r="E156" i="14"/>
  <c r="E155" i="14"/>
  <c r="E154" i="14"/>
  <c r="E153" i="14"/>
  <c r="E152" i="14"/>
  <c r="E151" i="14"/>
  <c r="E150" i="14"/>
  <c r="E149" i="14"/>
  <c r="E148" i="14"/>
  <c r="E147" i="14"/>
  <c r="E146" i="14"/>
  <c r="E145" i="14"/>
  <c r="E144" i="14"/>
  <c r="E143" i="14"/>
  <c r="E142" i="14"/>
  <c r="E141" i="14"/>
  <c r="E140" i="14"/>
  <c r="E139" i="14"/>
  <c r="E138" i="14"/>
  <c r="E137" i="14"/>
  <c r="E136" i="14"/>
  <c r="E135" i="14"/>
  <c r="E134" i="14"/>
  <c r="E133" i="14"/>
  <c r="E132" i="14"/>
  <c r="E131" i="14"/>
  <c r="E130" i="14"/>
  <c r="E129" i="14"/>
  <c r="E128" i="14"/>
  <c r="E127" i="14"/>
  <c r="E126" i="14"/>
  <c r="E125" i="14"/>
  <c r="E124" i="14"/>
  <c r="E123" i="14"/>
  <c r="E122" i="14"/>
  <c r="E121" i="14"/>
  <c r="E120" i="14"/>
  <c r="E119" i="14"/>
  <c r="E118" i="14"/>
  <c r="E117" i="14"/>
  <c r="E116" i="14"/>
  <c r="E115" i="14"/>
  <c r="E114" i="14"/>
  <c r="E113" i="14"/>
  <c r="E112" i="14"/>
  <c r="E111" i="14"/>
  <c r="E110" i="14"/>
  <c r="E109" i="14"/>
  <c r="E108" i="14"/>
  <c r="E107" i="14"/>
  <c r="E106" i="14"/>
  <c r="E105" i="14"/>
  <c r="E104" i="14"/>
  <c r="E103" i="14"/>
  <c r="E102" i="14"/>
  <c r="E101" i="14"/>
  <c r="E100" i="14"/>
  <c r="E99" i="14"/>
  <c r="E98" i="14"/>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6" i="14"/>
  <c r="E5" i="14"/>
  <c r="E4" i="14"/>
  <c r="H4" i="14" s="1"/>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C801" i="14"/>
  <c r="C802" i="14"/>
  <c r="C803" i="14"/>
  <c r="C804" i="14"/>
  <c r="C805" i="14"/>
  <c r="C806" i="14"/>
  <c r="C807" i="14"/>
  <c r="C808" i="14"/>
  <c r="C809" i="14"/>
  <c r="C810" i="14"/>
  <c r="C811" i="14"/>
  <c r="C812" i="14"/>
  <c r="C813" i="14"/>
  <c r="C814" i="14"/>
  <c r="C815" i="14"/>
  <c r="C816" i="14"/>
  <c r="C817" i="14"/>
  <c r="C818" i="14"/>
  <c r="C819" i="14"/>
  <c r="C820" i="14"/>
  <c r="C821" i="14"/>
  <c r="C822" i="14"/>
  <c r="C823" i="14"/>
  <c r="C824" i="14"/>
  <c r="C825" i="14"/>
  <c r="C826" i="14"/>
  <c r="C827" i="14"/>
  <c r="C828" i="14"/>
  <c r="C829" i="14"/>
  <c r="C830" i="14"/>
  <c r="C831" i="14"/>
  <c r="C832" i="14"/>
  <c r="C833" i="14"/>
  <c r="C834" i="14"/>
  <c r="C835" i="14"/>
  <c r="C836" i="14"/>
  <c r="C837" i="14"/>
  <c r="C838" i="14"/>
  <c r="C839" i="14"/>
  <c r="C840" i="14"/>
  <c r="C841" i="14"/>
  <c r="C842" i="14"/>
  <c r="C843" i="14"/>
  <c r="C844" i="14"/>
  <c r="C845" i="14"/>
  <c r="C846" i="14"/>
  <c r="C847" i="14"/>
  <c r="C848" i="14"/>
  <c r="C849" i="14"/>
  <c r="C850" i="14"/>
  <c r="C851" i="14"/>
  <c r="C852" i="14"/>
  <c r="C853" i="14"/>
  <c r="C854" i="14"/>
  <c r="C855" i="14"/>
  <c r="C856" i="14"/>
  <c r="C857" i="14"/>
  <c r="C858" i="14"/>
  <c r="C859" i="14"/>
  <c r="C860" i="14"/>
  <c r="C861" i="14"/>
  <c r="C862" i="14"/>
  <c r="C863" i="14"/>
  <c r="C864" i="14"/>
  <c r="C865" i="14"/>
  <c r="C866" i="14"/>
  <c r="C867" i="14"/>
  <c r="C868" i="14"/>
  <c r="C869" i="14"/>
  <c r="C870" i="14"/>
  <c r="C871" i="14"/>
  <c r="C872" i="14"/>
  <c r="C873" i="14"/>
  <c r="C874" i="14"/>
  <c r="C875" i="14"/>
  <c r="C876" i="14"/>
  <c r="C877" i="14"/>
  <c r="C878" i="14"/>
  <c r="C879" i="14"/>
  <c r="C880" i="14"/>
  <c r="C881" i="14"/>
  <c r="C882" i="14"/>
  <c r="C883" i="14"/>
  <c r="C884" i="14"/>
  <c r="C885" i="14"/>
  <c r="C886" i="14"/>
  <c r="C887" i="14"/>
  <c r="C888" i="14"/>
  <c r="C889" i="14"/>
  <c r="C890" i="14"/>
  <c r="C891" i="14"/>
  <c r="C892" i="14"/>
  <c r="C893" i="14"/>
  <c r="C894" i="14"/>
  <c r="C895" i="14"/>
  <c r="C896" i="14"/>
  <c r="C897" i="14"/>
  <c r="C898" i="14"/>
  <c r="C899" i="14"/>
  <c r="C900" i="14"/>
  <c r="C901" i="14"/>
  <c r="C902" i="14"/>
  <c r="C903" i="14"/>
  <c r="C904" i="14"/>
  <c r="C905" i="14"/>
  <c r="C906" i="14"/>
  <c r="C907" i="14"/>
  <c r="C908" i="14"/>
  <c r="C909" i="14"/>
  <c r="C910" i="14"/>
  <c r="C911" i="14"/>
  <c r="C912" i="14"/>
  <c r="C913" i="14"/>
  <c r="C914" i="14"/>
  <c r="C915" i="14"/>
  <c r="C916" i="14"/>
  <c r="C917" i="14"/>
  <c r="C918" i="14"/>
  <c r="C919" i="14"/>
  <c r="C920" i="14"/>
  <c r="C921" i="14"/>
  <c r="C922" i="14"/>
  <c r="C923" i="14"/>
  <c r="C924" i="14"/>
  <c r="C925" i="14"/>
  <c r="C926" i="14"/>
  <c r="C927" i="14"/>
  <c r="C928" i="14"/>
  <c r="C929" i="14"/>
  <c r="C930" i="14"/>
  <c r="C931" i="14"/>
  <c r="C932" i="14"/>
  <c r="C933" i="14"/>
  <c r="C934" i="14"/>
  <c r="C935" i="14"/>
  <c r="C936" i="14"/>
  <c r="C937" i="14"/>
  <c r="C938" i="14"/>
  <c r="C939" i="14"/>
  <c r="C940" i="14"/>
  <c r="C941" i="14"/>
  <c r="C942" i="14"/>
  <c r="C943" i="14"/>
  <c r="C944" i="14"/>
  <c r="C945" i="14"/>
  <c r="C946" i="14"/>
  <c r="C947" i="14"/>
  <c r="C948" i="14"/>
  <c r="C949" i="14"/>
  <c r="C950" i="14"/>
  <c r="C951" i="14"/>
  <c r="C952" i="14"/>
  <c r="C953" i="14"/>
  <c r="C954" i="14"/>
  <c r="C955" i="14"/>
  <c r="C956" i="14"/>
  <c r="C957" i="14"/>
  <c r="C958" i="14"/>
  <c r="C959" i="14"/>
  <c r="C960" i="14"/>
  <c r="C961" i="14"/>
  <c r="C962" i="14"/>
  <c r="C963" i="14"/>
  <c r="C964" i="14"/>
  <c r="C965" i="14"/>
  <c r="C966" i="14"/>
  <c r="C967" i="14"/>
  <c r="C968" i="14"/>
  <c r="C969" i="14"/>
  <c r="C970" i="14"/>
  <c r="C971" i="14"/>
  <c r="C972" i="14"/>
  <c r="C973" i="14"/>
  <c r="C974" i="14"/>
  <c r="C975" i="14"/>
  <c r="C976" i="14"/>
  <c r="C977" i="14"/>
  <c r="C978" i="14"/>
  <c r="C979" i="14"/>
  <c r="C980" i="14"/>
  <c r="C981" i="14"/>
  <c r="C982" i="14"/>
  <c r="C983" i="14"/>
  <c r="C984" i="14"/>
  <c r="C985" i="14"/>
  <c r="C986" i="14"/>
  <c r="C987" i="14"/>
  <c r="C988" i="14"/>
  <c r="C989" i="14"/>
  <c r="C990" i="14"/>
  <c r="C991" i="14"/>
  <c r="C992" i="14"/>
  <c r="C993" i="14"/>
  <c r="C994" i="14"/>
  <c r="C995" i="14"/>
  <c r="C996"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C1045" i="14"/>
  <c r="C1046" i="14"/>
  <c r="C1047" i="14"/>
  <c r="C1048" i="14"/>
  <c r="C1049" i="14"/>
  <c r="C1050" i="14"/>
  <c r="C1051" i="14"/>
  <c r="C1052" i="14"/>
  <c r="C1053" i="14"/>
  <c r="C1054" i="14"/>
  <c r="C1055" i="14"/>
  <c r="C1056" i="14"/>
  <c r="C1057" i="14"/>
  <c r="C1058" i="14"/>
  <c r="C1059" i="14"/>
  <c r="C1060" i="14"/>
  <c r="C1061" i="14"/>
  <c r="C1062" i="14"/>
  <c r="C1063" i="14"/>
  <c r="C1064" i="14"/>
  <c r="C1065" i="14"/>
  <c r="C1066" i="14"/>
  <c r="C1067" i="14"/>
  <c r="C1068" i="14"/>
  <c r="C1069" i="14"/>
  <c r="C1070" i="14"/>
  <c r="C1071" i="14"/>
  <c r="C1072" i="14"/>
  <c r="C1073" i="14"/>
  <c r="C1074" i="14"/>
  <c r="C1075" i="14"/>
  <c r="C1076" i="14"/>
  <c r="C1077" i="14"/>
  <c r="C1078" i="14"/>
  <c r="C1079" i="14"/>
  <c r="C1080" i="14"/>
  <c r="C1081" i="14"/>
  <c r="C1082" i="14"/>
  <c r="C1083" i="14"/>
  <c r="C1084" i="14"/>
  <c r="C1085" i="14"/>
  <c r="C1086" i="14"/>
  <c r="C1087" i="14"/>
  <c r="C1088" i="14"/>
  <c r="C1089" i="14"/>
  <c r="C1090" i="14"/>
  <c r="C1091" i="14"/>
  <c r="C1092" i="14"/>
  <c r="C1093" i="14"/>
  <c r="C1094" i="14"/>
  <c r="C1095" i="14"/>
  <c r="C1096" i="14"/>
  <c r="C1097" i="14"/>
  <c r="C1098" i="14"/>
  <c r="C1099" i="14"/>
  <c r="C1100" i="14"/>
  <c r="C1101" i="14"/>
  <c r="C1102" i="14"/>
  <c r="C1103" i="14"/>
  <c r="C1104" i="14"/>
  <c r="C1105" i="14"/>
  <c r="C1106" i="14"/>
  <c r="C1107" i="14"/>
  <c r="C1108" i="14"/>
  <c r="C1109" i="14"/>
  <c r="C1110" i="14"/>
  <c r="C1111" i="14"/>
  <c r="C1112" i="14"/>
  <c r="C1113" i="14"/>
  <c r="C1114" i="14"/>
  <c r="C1115" i="14"/>
  <c r="C1116" i="14"/>
  <c r="C1117" i="14"/>
  <c r="C1118" i="14"/>
  <c r="C1119" i="14"/>
  <c r="C1120" i="14"/>
  <c r="C1121" i="14"/>
  <c r="C1122" i="14"/>
  <c r="C1123" i="14"/>
  <c r="C1124" i="14"/>
  <c r="C1125" i="14"/>
  <c r="C1126" i="14"/>
  <c r="C1127" i="14"/>
  <c r="C1128" i="14"/>
  <c r="C1129" i="14"/>
  <c r="C1130" i="14"/>
  <c r="C1131" i="14"/>
  <c r="C1132" i="14"/>
  <c r="C1133" i="14"/>
  <c r="C1134" i="14"/>
  <c r="C1135" i="14"/>
  <c r="C1136" i="14"/>
  <c r="C1137" i="14"/>
  <c r="C1138" i="14"/>
  <c r="C1139" i="14"/>
  <c r="C1140" i="14"/>
  <c r="C1141" i="14"/>
  <c r="C1142" i="14"/>
  <c r="C1143" i="14"/>
  <c r="C1144" i="14"/>
  <c r="C1145" i="14"/>
  <c r="C1146" i="14"/>
  <c r="C1147" i="14"/>
  <c r="C1148" i="14"/>
  <c r="C1149" i="14"/>
  <c r="C1150" i="14"/>
  <c r="C1151" i="14"/>
  <c r="C1152" i="14"/>
  <c r="C1153" i="14"/>
  <c r="C1154" i="14"/>
  <c r="C1155" i="14"/>
  <c r="C1156" i="14"/>
  <c r="C1157" i="14"/>
  <c r="C1158" i="14"/>
  <c r="C1159" i="14"/>
  <c r="C1160" i="14"/>
  <c r="C1161" i="14"/>
  <c r="C1162" i="14"/>
  <c r="C1163" i="14"/>
  <c r="C1164" i="14"/>
  <c r="C1165" i="14"/>
  <c r="C1166" i="14"/>
  <c r="C1167" i="14"/>
  <c r="C1168" i="14"/>
  <c r="C1169" i="14"/>
  <c r="C1170" i="14"/>
  <c r="C1171" i="14"/>
  <c r="C1172" i="14"/>
  <c r="C1173" i="14"/>
  <c r="C1174" i="14"/>
  <c r="C1175" i="14"/>
  <c r="C1176" i="14"/>
  <c r="C1177" i="14"/>
  <c r="C1178" i="14"/>
  <c r="C1179" i="14"/>
  <c r="C1180" i="14"/>
  <c r="C1181" i="14"/>
  <c r="C1182" i="14"/>
  <c r="C1183" i="14"/>
  <c r="C1184" i="14"/>
  <c r="C1185" i="14"/>
  <c r="C1186" i="14"/>
  <c r="C1187" i="14"/>
  <c r="C1188" i="14"/>
  <c r="C1189" i="14"/>
  <c r="C1190" i="14"/>
  <c r="C1191" i="14"/>
  <c r="C1192" i="14"/>
  <c r="C1193" i="14"/>
  <c r="C1194" i="14"/>
  <c r="C1195" i="14"/>
  <c r="C1196" i="14"/>
  <c r="C1197" i="14"/>
  <c r="C1198" i="14"/>
  <c r="C1199" i="14"/>
  <c r="C1200" i="14"/>
  <c r="C1201" i="14"/>
  <c r="C1202" i="14"/>
  <c r="C1203" i="14"/>
  <c r="C1204" i="14"/>
  <c r="C1205" i="14"/>
  <c r="C1206" i="14"/>
  <c r="C1207" i="14"/>
  <c r="C1208" i="14"/>
  <c r="C1209" i="14"/>
  <c r="C1210" i="14"/>
  <c r="C1211" i="14"/>
  <c r="C1212" i="14"/>
  <c r="C1213" i="14"/>
  <c r="C1214" i="14"/>
  <c r="C1215" i="14"/>
  <c r="C1216" i="14"/>
  <c r="C1217" i="14"/>
  <c r="C1218" i="14"/>
  <c r="C1219" i="14"/>
  <c r="C1220" i="14"/>
  <c r="C1221" i="14"/>
  <c r="C1222" i="14"/>
  <c r="C1223" i="14"/>
  <c r="C1224" i="14"/>
  <c r="C1225" i="14"/>
  <c r="C1226" i="14"/>
  <c r="C1227" i="14"/>
  <c r="C1228" i="14"/>
  <c r="C1229" i="14"/>
  <c r="C1230" i="14"/>
  <c r="C1231" i="14"/>
  <c r="C1232" i="14"/>
  <c r="C1233" i="14"/>
  <c r="C1234" i="14"/>
  <c r="C1235" i="14"/>
  <c r="C1236" i="14"/>
  <c r="C1237" i="14"/>
  <c r="C1238" i="14"/>
  <c r="C1239" i="14"/>
  <c r="C1240" i="14"/>
  <c r="C1241" i="14"/>
  <c r="C1242" i="14"/>
  <c r="C1243" i="14"/>
  <c r="C1244" i="14"/>
  <c r="C1245" i="14"/>
  <c r="C1246" i="14"/>
  <c r="C1247" i="14"/>
  <c r="C1248" i="14"/>
  <c r="C1249" i="14"/>
  <c r="C1250" i="14"/>
  <c r="C1251" i="14"/>
  <c r="C1252" i="14"/>
  <c r="C1253" i="14"/>
  <c r="C1254" i="14"/>
  <c r="C1255" i="14"/>
  <c r="C1256" i="14"/>
  <c r="C1257" i="14"/>
  <c r="C1258" i="14"/>
  <c r="C1259" i="14"/>
  <c r="C1260" i="14"/>
  <c r="C1261" i="14"/>
  <c r="C1262" i="14"/>
  <c r="C1263" i="14"/>
  <c r="C1264" i="14"/>
  <c r="C1265" i="14"/>
  <c r="C1266" i="14"/>
  <c r="C1267" i="14"/>
  <c r="C1268" i="14"/>
  <c r="C1269" i="14"/>
  <c r="C1270" i="14"/>
  <c r="C1271" i="14"/>
  <c r="C1272" i="14"/>
  <c r="C1273" i="14"/>
  <c r="C1274" i="14"/>
  <c r="C1275" i="14"/>
  <c r="C1276" i="14"/>
  <c r="C1277" i="14"/>
  <c r="C1278" i="14"/>
  <c r="C1279" i="14"/>
  <c r="C1280" i="14"/>
  <c r="C1281" i="14"/>
  <c r="C1282" i="14"/>
  <c r="C1283" i="14"/>
  <c r="C1284" i="14"/>
  <c r="C1285" i="14"/>
  <c r="C1286" i="14"/>
  <c r="C1287" i="14"/>
  <c r="C1288" i="14"/>
  <c r="C1289" i="14"/>
  <c r="C1290" i="14"/>
  <c r="C1291" i="14"/>
  <c r="C1292" i="14"/>
  <c r="C1293" i="14"/>
  <c r="C1294" i="14"/>
  <c r="C1295" i="14"/>
  <c r="C1296" i="14"/>
  <c r="C1297" i="14"/>
  <c r="C1298" i="14"/>
  <c r="C1299" i="14"/>
  <c r="C1300" i="14"/>
  <c r="C1301" i="14"/>
  <c r="C1302" i="14"/>
  <c r="C1303" i="14"/>
  <c r="C1304" i="14"/>
  <c r="C1305" i="14"/>
  <c r="C1306" i="14"/>
  <c r="C1307" i="14"/>
  <c r="C1308" i="14"/>
  <c r="C1309" i="14"/>
  <c r="C1310" i="14"/>
  <c r="C1311" i="14"/>
  <c r="C1312" i="14"/>
  <c r="C1313" i="14"/>
  <c r="C1314" i="14"/>
  <c r="C1315" i="14"/>
  <c r="C1316" i="14"/>
  <c r="C1317" i="14"/>
  <c r="C1318" i="14"/>
  <c r="C1319" i="14"/>
  <c r="C1320" i="14"/>
  <c r="C1321" i="14"/>
  <c r="C1322" i="14"/>
  <c r="C1323" i="14"/>
  <c r="C1324" i="14"/>
  <c r="C1325" i="14"/>
  <c r="C1326" i="14"/>
  <c r="C1327" i="14"/>
  <c r="C1328" i="14"/>
  <c r="C1329" i="14"/>
  <c r="C1330" i="14"/>
  <c r="C1331" i="14"/>
  <c r="C1332" i="14"/>
  <c r="C1333" i="14"/>
  <c r="C1334" i="14"/>
  <c r="C1335" i="14"/>
  <c r="C1336" i="14"/>
  <c r="C1337" i="14"/>
  <c r="C1338" i="14"/>
  <c r="C1339" i="14"/>
  <c r="C1340" i="14"/>
  <c r="C1341" i="14"/>
  <c r="C1342" i="14"/>
  <c r="C1343" i="14"/>
  <c r="C1344" i="14"/>
  <c r="C1345" i="14"/>
  <c r="C1346" i="14"/>
  <c r="C1347" i="14"/>
  <c r="C1348" i="14"/>
  <c r="C1349" i="14"/>
  <c r="C1350" i="14"/>
  <c r="C1351" i="14"/>
  <c r="C1352" i="14"/>
  <c r="C1353" i="14"/>
  <c r="C1354" i="14"/>
  <c r="C1355" i="14"/>
  <c r="C1356" i="14"/>
  <c r="C1357" i="14"/>
  <c r="C1358" i="14"/>
  <c r="C1359" i="14"/>
  <c r="C1360" i="14"/>
  <c r="C1361" i="14"/>
  <c r="C1362" i="14"/>
  <c r="C1363" i="14"/>
  <c r="C1364" i="14"/>
  <c r="C1365" i="14"/>
  <c r="C1366" i="14"/>
  <c r="C1367" i="14"/>
  <c r="C1368" i="14"/>
  <c r="C1369" i="14"/>
  <c r="C1370" i="14"/>
  <c r="C1371" i="14"/>
  <c r="C1372" i="14"/>
  <c r="C1373" i="14"/>
  <c r="C1374" i="14"/>
  <c r="C1375" i="14"/>
  <c r="C1376" i="14"/>
  <c r="C1377" i="14"/>
  <c r="C1378" i="14"/>
  <c r="C1379" i="14"/>
  <c r="C1380" i="14"/>
  <c r="C1381" i="14"/>
  <c r="C1382" i="14"/>
  <c r="C1383" i="14"/>
  <c r="C1384" i="14"/>
  <c r="C1385" i="14"/>
  <c r="C1386" i="14"/>
  <c r="C1387" i="14"/>
  <c r="C1388" i="14"/>
  <c r="C1389" i="14"/>
  <c r="C1390" i="14"/>
  <c r="C1391" i="14"/>
  <c r="C1392" i="14"/>
  <c r="C1393" i="14"/>
  <c r="C1394" i="14"/>
  <c r="C1395" i="14"/>
  <c r="C1396" i="14"/>
  <c r="C1397" i="14"/>
  <c r="C1398" i="14"/>
  <c r="C1399" i="14"/>
  <c r="C1400" i="14"/>
  <c r="C1401" i="14"/>
  <c r="C1402" i="14"/>
  <c r="C1403" i="14"/>
  <c r="C1404" i="14"/>
  <c r="C1405" i="14"/>
  <c r="C1406" i="14"/>
  <c r="C1407" i="14"/>
  <c r="C1408" i="14"/>
  <c r="C1409" i="14"/>
  <c r="C1410" i="14"/>
  <c r="C1411" i="14"/>
  <c r="C1412" i="14"/>
  <c r="C1413" i="14"/>
  <c r="C1414" i="14"/>
  <c r="C1415" i="14"/>
  <c r="C1416" i="14"/>
  <c r="C1417" i="14"/>
  <c r="C1418" i="14"/>
  <c r="C1419" i="14"/>
  <c r="C1420" i="14"/>
  <c r="C1421" i="14"/>
  <c r="C1422" i="14"/>
  <c r="C1423" i="14"/>
  <c r="C1424" i="14"/>
  <c r="C1425" i="14"/>
  <c r="C1426" i="14"/>
  <c r="C1427" i="14"/>
  <c r="C1428" i="14"/>
  <c r="C1429" i="14"/>
  <c r="C1430" i="14"/>
  <c r="C1431" i="14"/>
  <c r="C1432" i="14"/>
  <c r="C1433" i="14"/>
  <c r="C1434" i="14"/>
  <c r="C1435" i="14"/>
  <c r="C1436" i="14"/>
  <c r="C1437" i="14"/>
  <c r="C1438" i="14"/>
  <c r="C1439" i="14"/>
  <c r="C1440" i="14"/>
  <c r="C1441" i="14"/>
  <c r="C1442" i="14"/>
  <c r="C1443" i="14"/>
  <c r="C1444" i="14"/>
  <c r="C1445" i="14"/>
  <c r="C1446" i="14"/>
  <c r="C1447" i="14"/>
  <c r="C1448" i="14"/>
  <c r="C1449" i="14"/>
  <c r="C1450" i="14"/>
  <c r="C1451" i="14"/>
  <c r="C1452" i="14"/>
  <c r="C1453" i="14"/>
  <c r="C1454" i="14"/>
  <c r="C1455" i="14"/>
  <c r="C1456" i="14"/>
  <c r="C1457" i="14"/>
  <c r="C1458" i="14"/>
  <c r="C1459" i="14"/>
  <c r="C1460" i="14"/>
  <c r="C1461" i="14"/>
  <c r="C1462" i="14"/>
  <c r="C1463" i="14"/>
  <c r="C1464" i="14"/>
  <c r="C1465" i="14"/>
  <c r="C1466" i="14"/>
  <c r="C1467" i="14"/>
  <c r="C1468" i="14"/>
  <c r="C1469" i="14"/>
  <c r="C1470" i="14"/>
  <c r="C1471" i="14"/>
  <c r="C1472" i="14"/>
  <c r="C1473" i="14"/>
  <c r="C1474" i="14"/>
  <c r="C1475" i="14"/>
  <c r="C1476" i="14"/>
  <c r="C1477" i="14"/>
  <c r="C1478" i="14"/>
  <c r="C1479" i="14"/>
  <c r="C1480" i="14"/>
  <c r="C1481" i="14"/>
  <c r="C1482" i="14"/>
  <c r="C1483" i="14"/>
  <c r="C1484" i="14"/>
  <c r="C1485" i="14"/>
  <c r="C1486" i="14"/>
  <c r="C1487" i="14"/>
  <c r="C1488" i="14"/>
  <c r="C1489" i="14"/>
  <c r="C1490" i="14"/>
  <c r="C1491" i="14"/>
  <c r="C1492" i="14"/>
  <c r="C1493" i="14"/>
  <c r="C1494" i="14"/>
  <c r="C1495" i="14"/>
  <c r="C1496" i="14"/>
  <c r="C1497" i="14"/>
  <c r="C1498" i="14"/>
  <c r="C1499" i="14"/>
  <c r="C1500" i="14"/>
  <c r="C1501" i="14"/>
  <c r="C1502" i="14"/>
  <c r="C1503" i="14"/>
  <c r="C1504" i="14"/>
  <c r="C1505" i="14"/>
  <c r="C1506" i="14"/>
  <c r="C1507" i="14"/>
  <c r="C1508" i="14"/>
  <c r="C1509" i="14"/>
  <c r="C1510" i="14"/>
  <c r="C1511" i="14"/>
  <c r="C1512" i="14"/>
  <c r="C1513" i="14"/>
  <c r="C1514" i="14"/>
  <c r="C1515" i="14"/>
  <c r="C1516" i="14"/>
  <c r="C1517" i="14"/>
  <c r="C1518" i="14"/>
  <c r="C1519" i="14"/>
  <c r="C1520" i="14"/>
  <c r="C1521" i="14"/>
  <c r="C1522" i="14"/>
  <c r="C1523" i="14"/>
  <c r="C1524" i="14"/>
  <c r="C1525" i="14"/>
  <c r="C1526" i="14"/>
  <c r="C1527" i="14"/>
  <c r="C1528" i="14"/>
  <c r="C1529" i="14"/>
  <c r="C1530" i="14"/>
  <c r="C1531" i="14"/>
  <c r="C1532" i="14"/>
  <c r="C1533" i="14"/>
  <c r="C1534" i="14"/>
  <c r="C1535" i="14"/>
  <c r="C1536" i="14"/>
  <c r="C1537" i="14"/>
  <c r="C1538" i="14"/>
  <c r="C1539" i="14"/>
  <c r="C1540" i="14"/>
  <c r="C1541" i="14"/>
  <c r="C1542" i="14"/>
  <c r="C1543" i="14"/>
  <c r="C1544" i="14"/>
  <c r="C1545" i="14"/>
  <c r="C1546" i="14"/>
  <c r="C1547" i="14"/>
  <c r="C1548" i="14"/>
  <c r="C1549" i="14"/>
  <c r="C1550" i="14"/>
  <c r="C1551" i="14"/>
  <c r="C1552" i="14"/>
  <c r="C1553" i="14"/>
  <c r="C1554" i="14"/>
  <c r="C1555" i="14"/>
  <c r="C1556" i="14"/>
  <c r="C1557" i="14"/>
  <c r="C1558" i="14"/>
  <c r="C1559" i="14"/>
  <c r="C1560" i="14"/>
  <c r="C1561" i="14"/>
  <c r="C1562" i="14"/>
  <c r="C1563" i="14"/>
  <c r="C1564" i="14"/>
  <c r="C1565" i="14"/>
  <c r="C1566" i="14"/>
  <c r="C1567" i="14"/>
  <c r="C1568" i="14"/>
  <c r="C1569" i="14"/>
  <c r="C1570" i="14"/>
  <c r="C1571" i="14"/>
  <c r="C1572" i="14"/>
  <c r="C1573" i="14"/>
  <c r="C1574" i="14"/>
  <c r="C1575" i="14"/>
  <c r="C1576" i="14"/>
  <c r="C1577" i="14"/>
  <c r="C1578" i="14"/>
  <c r="C1579" i="14"/>
  <c r="C1580" i="14"/>
  <c r="C1581" i="14"/>
  <c r="C1582" i="14"/>
  <c r="C1583" i="14"/>
  <c r="C1584" i="14"/>
  <c r="C1585" i="14"/>
  <c r="C1586" i="14"/>
  <c r="C1587" i="14"/>
  <c r="C1588" i="14"/>
  <c r="C1589" i="14"/>
  <c r="C1590" i="14"/>
  <c r="C1591" i="14"/>
  <c r="C1592" i="14"/>
  <c r="C1593" i="14"/>
  <c r="C1594" i="14"/>
  <c r="C1595" i="14"/>
  <c r="C1596" i="14"/>
  <c r="C1597" i="14"/>
  <c r="C1598" i="14"/>
  <c r="C1599" i="14"/>
  <c r="C1600" i="14"/>
  <c r="C1601" i="14"/>
  <c r="C1602" i="14"/>
  <c r="C1603" i="14"/>
  <c r="C1604" i="14"/>
  <c r="C1605" i="14"/>
  <c r="C1606" i="14"/>
  <c r="C1607" i="14"/>
  <c r="C1608" i="14"/>
  <c r="C1609" i="14"/>
  <c r="C1610" i="14"/>
  <c r="C1611" i="14"/>
  <c r="C1612" i="14"/>
  <c r="C1613" i="14"/>
  <c r="C1614" i="14"/>
  <c r="C1615" i="14"/>
  <c r="C1616" i="14"/>
  <c r="C1617" i="14"/>
  <c r="C1618" i="14"/>
  <c r="C1619" i="14"/>
  <c r="C1620" i="14"/>
  <c r="C1621" i="14"/>
  <c r="C1622" i="14"/>
  <c r="C1623" i="14"/>
  <c r="C1624" i="14"/>
  <c r="C1625" i="14"/>
  <c r="C1626" i="14"/>
  <c r="C1627" i="14"/>
  <c r="C1628" i="14"/>
  <c r="C1629" i="14"/>
  <c r="C1630" i="14"/>
  <c r="C1631" i="14"/>
  <c r="C1632" i="14"/>
  <c r="C1633" i="14"/>
  <c r="C1634" i="14"/>
  <c r="C1635" i="14"/>
  <c r="C1636" i="14"/>
  <c r="C1637" i="14"/>
  <c r="C1638" i="14"/>
  <c r="C1639" i="14"/>
  <c r="C1640" i="14"/>
  <c r="C1641" i="14"/>
  <c r="C1642" i="14"/>
  <c r="C1643" i="14"/>
  <c r="C1644" i="14"/>
  <c r="C1645" i="14"/>
  <c r="C1646" i="14"/>
  <c r="C1647" i="14"/>
  <c r="C1648" i="14"/>
  <c r="C1649" i="14"/>
  <c r="C1650" i="14"/>
  <c r="C1651" i="14"/>
  <c r="C1652" i="14"/>
  <c r="C1653" i="14"/>
  <c r="C1654" i="14"/>
  <c r="C1655" i="14"/>
  <c r="C1656" i="14"/>
  <c r="C1657" i="14"/>
  <c r="C1658" i="14"/>
  <c r="C1659" i="14"/>
  <c r="C1660" i="14"/>
  <c r="C1661" i="14"/>
  <c r="C1662" i="14"/>
  <c r="C1663" i="14"/>
  <c r="C1664" i="14"/>
  <c r="C1665" i="14"/>
  <c r="C1666" i="14"/>
  <c r="C1667" i="14"/>
  <c r="C1668" i="14"/>
  <c r="C1669" i="14"/>
  <c r="C1670" i="14"/>
  <c r="C1671" i="14"/>
  <c r="C1672" i="14"/>
  <c r="C1673" i="14"/>
  <c r="C1674" i="14"/>
  <c r="C1675" i="14"/>
  <c r="C1676" i="14"/>
  <c r="C1677" i="14"/>
  <c r="C1678" i="14"/>
  <c r="C1679" i="14"/>
  <c r="C1680" i="14"/>
  <c r="C1681" i="14"/>
  <c r="C1682" i="14"/>
  <c r="C1683" i="14"/>
  <c r="C1684" i="14"/>
  <c r="C1685" i="14"/>
  <c r="C1686" i="14"/>
  <c r="C1687" i="14"/>
  <c r="C1688" i="14"/>
  <c r="C1689" i="14"/>
  <c r="C1690" i="14"/>
  <c r="C1691" i="14"/>
  <c r="C1692" i="14"/>
  <c r="C1693" i="14"/>
  <c r="C1694" i="14"/>
  <c r="C1695" i="14"/>
  <c r="C1696" i="14"/>
  <c r="C1697" i="14"/>
  <c r="C1698" i="14"/>
  <c r="C1699" i="14"/>
  <c r="C1700" i="14"/>
  <c r="C1701" i="14"/>
  <c r="C1702" i="14"/>
  <c r="C1703" i="14"/>
  <c r="C1704" i="14"/>
  <c r="C1705" i="14"/>
  <c r="C1706" i="14"/>
  <c r="C1707" i="14"/>
  <c r="C1708" i="14"/>
  <c r="C1709" i="14"/>
  <c r="C1710" i="14"/>
  <c r="C1711" i="14"/>
  <c r="C1712" i="14"/>
  <c r="C1713" i="14"/>
  <c r="C1714" i="14"/>
  <c r="C1715" i="14"/>
  <c r="C1716" i="14"/>
  <c r="C1717" i="14"/>
  <c r="C1718" i="14"/>
  <c r="C1719" i="14"/>
  <c r="C1720" i="14"/>
  <c r="C1721" i="14"/>
  <c r="C1722" i="14"/>
  <c r="C1723" i="14"/>
  <c r="C1724" i="14"/>
  <c r="C1725" i="14"/>
  <c r="C1726" i="14"/>
  <c r="C1727" i="14"/>
  <c r="C1728" i="14"/>
  <c r="C1729" i="14"/>
  <c r="C1730" i="14"/>
  <c r="C1731" i="14"/>
  <c r="C1732" i="14"/>
  <c r="C1733" i="14"/>
  <c r="C1734" i="14"/>
  <c r="C1735" i="14"/>
  <c r="C1736" i="14"/>
  <c r="C1737" i="14"/>
  <c r="C1738" i="14"/>
  <c r="C1739" i="14"/>
  <c r="C1740" i="14"/>
  <c r="C1741" i="14"/>
  <c r="C1742" i="14"/>
  <c r="C1743" i="14"/>
  <c r="C1744" i="14"/>
  <c r="C1745" i="14"/>
  <c r="C1746" i="14"/>
  <c r="C1747" i="14"/>
  <c r="C1748" i="14"/>
  <c r="C1749" i="14"/>
  <c r="C1750" i="14"/>
  <c r="C1751" i="14"/>
  <c r="C1752" i="14"/>
  <c r="C1753" i="14"/>
  <c r="C1754" i="14"/>
  <c r="C1755" i="14"/>
  <c r="C1756" i="14"/>
  <c r="C1757" i="14"/>
  <c r="C1758" i="14"/>
  <c r="C1759" i="14"/>
  <c r="C1760" i="14"/>
  <c r="C1761" i="14"/>
  <c r="C1762" i="14"/>
  <c r="C1763" i="14"/>
  <c r="C1764" i="14"/>
  <c r="C1765" i="14"/>
  <c r="C1766" i="14"/>
  <c r="C1767" i="14"/>
  <c r="C1768" i="14"/>
  <c r="C1769" i="14"/>
  <c r="C1770" i="14"/>
  <c r="C1771" i="14"/>
  <c r="C1772" i="14"/>
  <c r="C1773" i="14"/>
  <c r="C1774" i="14"/>
  <c r="C1775" i="14"/>
  <c r="C1776" i="14"/>
  <c r="C1777" i="14"/>
  <c r="C1778" i="14"/>
  <c r="C1779" i="14"/>
  <c r="C1780" i="14"/>
  <c r="C1781" i="14"/>
  <c r="C1782" i="14"/>
  <c r="C1783" i="14"/>
  <c r="C1784" i="14"/>
  <c r="C1785" i="14"/>
  <c r="C1786" i="14"/>
  <c r="C1787" i="14"/>
  <c r="C1788" i="14"/>
  <c r="C1789" i="14"/>
  <c r="C1790" i="14"/>
  <c r="C1791" i="14"/>
  <c r="C1792" i="14"/>
  <c r="C1793" i="14"/>
  <c r="C1794" i="14"/>
  <c r="C1795" i="14"/>
  <c r="C1796" i="14"/>
  <c r="C1797" i="14"/>
  <c r="C1798" i="14"/>
  <c r="C1799" i="14"/>
  <c r="C1800" i="14"/>
  <c r="C1801" i="14"/>
  <c r="C1802" i="14"/>
  <c r="C1803" i="14"/>
  <c r="C1804" i="14"/>
  <c r="C1805" i="14"/>
  <c r="C1806" i="14"/>
  <c r="C1807" i="14"/>
  <c r="C1808" i="14"/>
  <c r="C1809" i="14"/>
  <c r="C1810" i="14"/>
  <c r="C1811" i="14"/>
  <c r="C1812" i="14"/>
  <c r="C1813" i="14"/>
  <c r="C1814" i="14"/>
  <c r="C1815" i="14"/>
  <c r="C1816" i="14"/>
  <c r="C1817" i="14"/>
  <c r="C1818" i="14"/>
  <c r="C1819" i="14"/>
  <c r="C1820" i="14"/>
  <c r="C1821" i="14"/>
  <c r="C1822" i="14"/>
  <c r="C1823" i="14"/>
  <c r="C1824" i="14"/>
  <c r="C1825" i="14"/>
  <c r="C1826" i="14"/>
  <c r="C1827" i="14"/>
  <c r="C1828" i="14"/>
  <c r="C1829" i="14"/>
  <c r="C1830" i="14"/>
  <c r="C1831" i="14"/>
  <c r="C1832" i="14"/>
  <c r="C1833" i="14"/>
  <c r="C1834" i="14"/>
  <c r="C1835" i="14"/>
  <c r="C1836" i="14"/>
  <c r="C1837" i="14"/>
  <c r="C1838" i="14"/>
  <c r="C1839" i="14"/>
  <c r="C1840" i="14"/>
  <c r="C1841" i="14"/>
  <c r="C1842" i="14"/>
  <c r="C1843" i="14"/>
  <c r="C1844" i="14"/>
  <c r="C1845" i="14"/>
  <c r="C1846" i="14"/>
  <c r="C1847" i="14"/>
  <c r="C1848" i="14"/>
  <c r="C1849" i="14"/>
  <c r="C1850" i="14"/>
  <c r="C1851" i="14"/>
  <c r="C1852" i="14"/>
  <c r="C1853" i="14"/>
  <c r="C1854" i="14"/>
  <c r="C1855" i="14"/>
  <c r="C1856" i="14"/>
  <c r="C1857" i="14"/>
  <c r="C1858" i="14"/>
  <c r="C1859" i="14"/>
  <c r="C1860" i="14"/>
  <c r="C1861" i="14"/>
  <c r="C1862" i="14"/>
  <c r="C1863" i="14"/>
  <c r="C1864" i="14"/>
  <c r="C1865" i="14"/>
  <c r="C1866" i="14"/>
  <c r="C1867" i="14"/>
  <c r="C1868" i="14"/>
  <c r="C1869" i="14"/>
  <c r="C1870" i="14"/>
  <c r="C1871" i="14"/>
  <c r="C1872" i="14"/>
  <c r="C1873" i="14"/>
  <c r="C1874" i="14"/>
  <c r="C1875" i="14"/>
  <c r="C1876" i="14"/>
  <c r="C1877" i="14"/>
  <c r="C1878" i="14"/>
  <c r="C1879" i="14"/>
  <c r="C1880" i="14"/>
  <c r="C1881" i="14"/>
  <c r="C1882" i="14"/>
  <c r="C1883" i="14"/>
  <c r="C1884" i="14"/>
  <c r="C1885" i="14"/>
  <c r="C1886" i="14"/>
  <c r="C1887" i="14"/>
  <c r="C1888" i="14"/>
  <c r="C1889" i="14"/>
  <c r="C1890" i="14"/>
  <c r="C1891" i="14"/>
  <c r="C1892" i="14"/>
  <c r="C1893" i="14"/>
  <c r="C1894" i="14"/>
  <c r="C1895" i="14"/>
  <c r="C1896" i="14"/>
  <c r="C1897" i="14"/>
  <c r="C1898" i="14"/>
  <c r="C1899" i="14"/>
  <c r="C1900" i="14"/>
  <c r="C1901" i="14"/>
  <c r="C1902" i="14"/>
  <c r="C1903" i="14"/>
  <c r="C1904" i="14"/>
  <c r="C1905" i="14"/>
  <c r="C1906" i="14"/>
  <c r="C1907" i="14"/>
  <c r="C1908" i="14"/>
  <c r="C1909" i="14"/>
  <c r="C1910" i="14"/>
  <c r="C1911" i="14"/>
  <c r="C1912" i="14"/>
  <c r="C1913" i="14"/>
  <c r="C1914" i="14"/>
  <c r="C1915" i="14"/>
  <c r="C1916" i="14"/>
  <c r="C1917" i="14"/>
  <c r="C1918" i="14"/>
  <c r="C1919" i="14"/>
  <c r="C1920" i="14"/>
  <c r="C1921" i="14"/>
  <c r="C1922" i="14"/>
  <c r="C1923" i="14"/>
  <c r="C1924" i="14"/>
  <c r="C1925" i="14"/>
  <c r="C1926" i="14"/>
  <c r="C1927" i="14"/>
  <c r="C1928" i="14"/>
  <c r="C1929" i="14"/>
  <c r="C1930" i="14"/>
  <c r="C1931" i="14"/>
  <c r="C1932" i="14"/>
  <c r="C1933" i="14"/>
  <c r="C1934" i="14"/>
  <c r="C1935" i="14"/>
  <c r="C1936" i="14"/>
  <c r="C1937" i="14"/>
  <c r="C1938" i="14"/>
  <c r="C1939" i="14"/>
  <c r="C1940" i="14"/>
  <c r="C1941" i="14"/>
  <c r="C1942" i="14"/>
  <c r="C1943" i="14"/>
  <c r="C1944" i="14"/>
  <c r="C1945" i="14"/>
  <c r="C1946" i="14"/>
  <c r="C1947" i="14"/>
  <c r="C1948" i="14"/>
  <c r="C1949" i="14"/>
  <c r="C1950" i="14"/>
  <c r="C1951" i="14"/>
  <c r="C1952" i="14"/>
  <c r="C1953" i="14"/>
  <c r="C1954" i="14"/>
  <c r="C1955" i="14"/>
  <c r="C1956" i="14"/>
  <c r="C1957" i="14"/>
  <c r="C1958" i="14"/>
  <c r="C1959" i="14"/>
  <c r="C1960" i="14"/>
  <c r="C1961" i="14"/>
  <c r="C1962" i="14"/>
  <c r="C1963" i="14"/>
  <c r="C1964" i="14"/>
  <c r="C1965" i="14"/>
  <c r="C1966" i="14"/>
  <c r="C1967" i="14"/>
  <c r="C1968" i="14"/>
  <c r="C1969" i="14"/>
  <c r="C1970" i="14"/>
  <c r="C1971" i="14"/>
  <c r="C1972" i="14"/>
  <c r="C1973" i="14"/>
  <c r="C1974" i="14"/>
  <c r="C1975" i="14"/>
  <c r="C1976" i="14"/>
  <c r="C1977" i="14"/>
  <c r="C1978" i="14"/>
  <c r="C1979" i="14"/>
  <c r="C1980" i="14"/>
  <c r="C1981" i="14"/>
  <c r="C1982" i="14"/>
  <c r="C1983" i="14"/>
  <c r="C1984" i="14"/>
  <c r="C1985" i="14"/>
  <c r="C1986" i="14"/>
  <c r="C1987" i="14"/>
  <c r="C1988" i="14"/>
  <c r="C1989" i="14"/>
  <c r="C1990" i="14"/>
  <c r="C1991" i="14"/>
  <c r="C1992" i="14"/>
  <c r="C1993" i="14"/>
  <c r="C1994" i="14"/>
  <c r="C1995" i="14"/>
  <c r="C1996" i="14"/>
  <c r="C1997" i="14"/>
  <c r="C1998" i="14"/>
  <c r="C1999" i="14"/>
  <c r="C2000" i="14"/>
  <c r="C2001" i="14"/>
  <c r="C2002" i="14"/>
  <c r="C2003" i="14"/>
  <c r="C2004" i="14"/>
  <c r="C2005" i="14"/>
  <c r="C2006" i="14"/>
  <c r="C2007" i="14"/>
  <c r="C2008" i="14"/>
  <c r="C2009" i="14"/>
  <c r="C2010" i="14"/>
  <c r="C2011" i="14"/>
  <c r="C2012" i="14"/>
  <c r="C2013" i="14"/>
  <c r="C2014" i="14"/>
  <c r="C2015" i="14"/>
  <c r="C2016" i="14"/>
  <c r="C2017" i="14"/>
  <c r="C2018" i="14"/>
  <c r="C2019" i="14"/>
  <c r="C2020" i="14"/>
  <c r="C2021" i="14"/>
  <c r="C2022" i="14"/>
  <c r="C2023" i="14"/>
  <c r="C2024" i="14"/>
  <c r="C2025" i="14"/>
  <c r="C2026" i="14"/>
  <c r="C2027" i="14"/>
  <c r="C2028" i="14"/>
  <c r="C2029" i="14"/>
  <c r="C2030" i="14"/>
  <c r="C2031" i="14"/>
  <c r="C2032" i="14"/>
  <c r="C2033" i="14"/>
  <c r="C2034" i="14"/>
  <c r="C2035" i="14"/>
  <c r="C2036" i="14"/>
  <c r="C2037" i="14"/>
  <c r="C2038" i="14"/>
  <c r="C2039" i="14"/>
  <c r="C2040" i="14"/>
  <c r="C2041" i="14"/>
  <c r="C2042" i="14"/>
  <c r="C2043" i="14"/>
  <c r="C2044" i="14"/>
  <c r="C2045" i="14"/>
  <c r="C2046" i="14"/>
  <c r="C2047" i="14"/>
  <c r="C2048" i="14"/>
  <c r="C2049" i="14"/>
  <c r="C2050" i="14"/>
  <c r="C2051" i="14"/>
  <c r="C2052" i="14"/>
  <c r="C2053" i="14"/>
  <c r="C2054" i="14"/>
  <c r="C2055" i="14"/>
  <c r="C2056" i="14"/>
  <c r="C2057" i="14"/>
  <c r="C2058" i="14"/>
  <c r="C2059" i="14"/>
  <c r="C2060" i="14"/>
  <c r="C2061" i="14"/>
  <c r="C2062" i="14"/>
  <c r="C2063" i="14"/>
  <c r="C2064" i="14"/>
  <c r="C2065" i="14"/>
  <c r="C2066" i="14"/>
  <c r="C2067" i="14"/>
  <c r="C2068" i="14"/>
  <c r="C2069" i="14"/>
  <c r="C2070" i="14"/>
  <c r="C2071" i="14"/>
  <c r="C2072" i="14"/>
  <c r="C2073" i="14"/>
  <c r="C2074" i="14"/>
  <c r="C2075" i="14"/>
  <c r="C2076" i="14"/>
  <c r="C2077" i="14"/>
  <c r="C2078" i="14"/>
  <c r="C2079" i="14"/>
  <c r="C2080" i="14"/>
  <c r="C2081" i="14"/>
  <c r="C2082" i="14"/>
  <c r="C2083" i="14"/>
  <c r="C2084" i="14"/>
  <c r="C2085" i="14"/>
  <c r="C2086" i="14"/>
  <c r="C2087" i="14"/>
  <c r="C2088" i="14"/>
  <c r="C2089" i="14"/>
  <c r="C2090" i="14"/>
  <c r="C2091" i="14"/>
  <c r="C2092" i="14"/>
  <c r="C2093" i="14"/>
  <c r="C2094" i="14"/>
  <c r="C2095" i="14"/>
  <c r="C2096" i="14"/>
  <c r="C2097" i="14"/>
  <c r="C2098" i="14"/>
  <c r="C2099" i="14"/>
  <c r="C2100" i="14"/>
  <c r="C2101" i="14"/>
  <c r="C2102" i="14"/>
  <c r="C2103" i="14"/>
  <c r="C2104" i="14"/>
  <c r="C2105" i="14"/>
  <c r="C2106" i="14"/>
  <c r="C2107" i="14"/>
  <c r="C2108" i="14"/>
  <c r="C2109" i="14"/>
  <c r="C2110" i="14"/>
  <c r="C2111" i="14"/>
  <c r="C2112" i="14"/>
  <c r="C2113" i="14"/>
  <c r="C2114" i="14"/>
  <c r="C2115" i="14"/>
  <c r="C2116" i="14"/>
  <c r="C2117" i="14"/>
  <c r="C2118" i="14"/>
  <c r="C2119" i="14"/>
  <c r="C2120" i="14"/>
  <c r="C2121" i="14"/>
  <c r="C2122" i="14"/>
  <c r="C2123" i="14"/>
  <c r="C2124" i="14"/>
  <c r="C2125" i="14"/>
  <c r="C2126" i="14"/>
  <c r="C2127" i="14"/>
  <c r="C2128" i="14"/>
  <c r="C2129" i="14"/>
  <c r="C2130" i="14"/>
  <c r="C2131" i="14"/>
  <c r="C2132" i="14"/>
  <c r="C2133" i="14"/>
  <c r="C2134" i="14"/>
  <c r="C2135" i="14"/>
  <c r="C2136" i="14"/>
  <c r="C2137" i="14"/>
  <c r="C2138" i="14"/>
  <c r="C2139" i="14"/>
  <c r="C2140" i="14"/>
  <c r="C2141" i="14"/>
  <c r="C2142" i="14"/>
  <c r="C2143" i="14"/>
  <c r="C2144" i="14"/>
  <c r="C2145" i="14"/>
  <c r="C2146" i="14"/>
  <c r="C2147" i="14"/>
  <c r="C2148" i="14"/>
  <c r="C2149" i="14"/>
  <c r="C2150" i="14"/>
  <c r="C2151" i="14"/>
  <c r="C2152" i="14"/>
  <c r="C2153" i="14"/>
  <c r="C2154" i="14"/>
  <c r="C2155" i="14"/>
  <c r="C2156" i="14"/>
  <c r="C2157" i="14"/>
  <c r="C2158" i="14"/>
  <c r="C2159" i="14"/>
  <c r="C2160" i="14"/>
  <c r="C2161" i="14"/>
  <c r="C2162" i="14"/>
  <c r="C2163" i="14"/>
  <c r="C2164" i="14"/>
  <c r="C2165" i="14"/>
  <c r="C2166" i="14"/>
  <c r="C2167" i="14"/>
  <c r="C2168" i="14"/>
  <c r="C2169" i="14"/>
  <c r="C2170" i="14"/>
  <c r="C2171" i="14"/>
  <c r="C2172" i="14"/>
  <c r="C2173" i="14"/>
  <c r="C2174" i="14"/>
  <c r="C2175" i="14"/>
  <c r="C2176" i="14"/>
  <c r="C2177" i="14"/>
  <c r="C2178" i="14"/>
  <c r="C2179" i="14"/>
  <c r="C2180" i="14"/>
  <c r="C2181" i="14"/>
  <c r="C2182" i="14"/>
  <c r="C2183" i="14"/>
  <c r="C2184" i="14"/>
  <c r="C2185" i="14"/>
  <c r="C2186" i="14"/>
  <c r="C2187" i="14"/>
  <c r="C2188" i="14"/>
  <c r="C2189" i="14"/>
  <c r="C2190" i="14"/>
  <c r="C2191" i="14"/>
  <c r="C2192" i="14"/>
  <c r="C2193" i="14"/>
  <c r="C2194" i="14"/>
  <c r="C2195" i="14"/>
  <c r="C2196" i="14"/>
  <c r="C2197" i="14"/>
  <c r="C2198" i="14"/>
  <c r="C2199" i="14"/>
  <c r="C2200" i="14"/>
  <c r="C2201" i="14"/>
  <c r="C2202" i="14"/>
  <c r="C2203" i="14"/>
  <c r="C2204" i="14"/>
  <c r="C2205" i="14"/>
  <c r="C2206" i="14"/>
  <c r="C2207" i="14"/>
  <c r="C2208" i="14"/>
  <c r="C2209" i="14"/>
  <c r="C2210" i="14"/>
  <c r="C2211" i="14"/>
  <c r="C2212" i="14"/>
  <c r="C2213" i="14"/>
  <c r="C2214" i="14"/>
  <c r="C2215" i="14"/>
  <c r="C2216" i="14"/>
  <c r="C2217" i="14"/>
  <c r="C2218" i="14"/>
  <c r="C2219" i="14"/>
  <c r="C2220" i="14"/>
  <c r="C2221" i="14"/>
  <c r="C2222" i="14"/>
  <c r="C2223" i="14"/>
  <c r="C2224" i="14"/>
  <c r="C2225" i="14"/>
  <c r="C2226" i="14"/>
  <c r="C2227" i="14"/>
  <c r="C2228" i="14"/>
  <c r="C2229" i="14"/>
  <c r="C2230" i="14"/>
  <c r="C2231" i="14"/>
  <c r="C2232" i="14"/>
  <c r="C2233" i="14"/>
  <c r="C2234" i="14"/>
  <c r="C2235" i="14"/>
  <c r="C2236" i="14"/>
  <c r="C2237" i="14"/>
  <c r="C2238" i="14"/>
  <c r="C2239" i="14"/>
  <c r="C2240" i="14"/>
  <c r="C2241" i="14"/>
  <c r="C2242" i="14"/>
  <c r="C2243" i="14"/>
  <c r="C2244" i="14"/>
  <c r="C2245" i="14"/>
  <c r="C2246" i="14"/>
  <c r="C2247" i="14"/>
  <c r="C2248" i="14"/>
  <c r="C2249" i="14"/>
  <c r="C2250" i="14"/>
  <c r="C2251" i="14"/>
  <c r="C2252" i="14"/>
  <c r="C2253" i="14"/>
  <c r="C2254" i="14"/>
  <c r="C2255" i="14"/>
  <c r="C2256" i="14"/>
  <c r="C2257" i="14"/>
  <c r="C2258" i="14"/>
  <c r="C2259" i="14"/>
  <c r="C2260" i="14"/>
  <c r="C2261" i="14"/>
  <c r="C2262" i="14"/>
  <c r="C2263" i="14"/>
  <c r="C2264" i="14"/>
  <c r="C2265" i="14"/>
  <c r="C2266" i="14"/>
  <c r="C2267" i="14"/>
  <c r="C2268" i="14"/>
  <c r="C2269" i="14"/>
  <c r="C2270" i="14"/>
  <c r="C2271" i="14"/>
  <c r="C2272" i="14"/>
  <c r="C2273" i="14"/>
  <c r="C2274" i="14"/>
  <c r="C2275" i="14"/>
  <c r="C2276" i="14"/>
  <c r="C2277" i="14"/>
  <c r="C2278" i="14"/>
  <c r="C2279" i="14"/>
  <c r="C2280" i="14"/>
  <c r="C2281" i="14"/>
  <c r="C2282" i="14"/>
  <c r="C2283" i="14"/>
  <c r="C2284" i="14"/>
  <c r="C2285" i="14"/>
  <c r="C2286" i="14"/>
  <c r="C2287" i="14"/>
  <c r="C2288" i="14"/>
  <c r="C2289" i="14"/>
  <c r="C2290" i="14"/>
  <c r="C2291" i="14"/>
  <c r="C2292" i="14"/>
  <c r="C2293" i="14"/>
  <c r="C2294" i="14"/>
  <c r="C2295" i="14"/>
  <c r="C2296" i="14"/>
  <c r="C2297" i="14"/>
  <c r="C2298" i="14"/>
  <c r="C2299" i="14"/>
  <c r="C2300" i="14"/>
  <c r="C2301" i="14"/>
  <c r="C2302" i="14"/>
  <c r="C2303" i="14"/>
  <c r="C2304" i="14"/>
  <c r="C2305" i="14"/>
  <c r="C2306" i="14"/>
  <c r="C2307" i="14"/>
  <c r="C2308" i="14"/>
  <c r="C2309" i="14"/>
  <c r="C2310" i="14"/>
  <c r="C2311" i="14"/>
  <c r="C2312" i="14"/>
  <c r="C2313" i="14"/>
  <c r="C2314" i="14"/>
  <c r="C2315" i="14"/>
  <c r="C2316" i="14"/>
  <c r="C2317" i="14"/>
  <c r="C2318" i="14"/>
  <c r="C2319" i="14"/>
  <c r="C2320" i="14"/>
  <c r="C2321" i="14"/>
  <c r="C2322" i="14"/>
  <c r="C2323" i="14"/>
  <c r="C2324" i="14"/>
  <c r="C2325" i="14"/>
  <c r="C2326" i="14"/>
  <c r="C2327" i="14"/>
  <c r="C2328" i="14"/>
  <c r="C2329" i="14"/>
  <c r="C2330" i="14"/>
  <c r="C2331" i="14"/>
  <c r="C2332" i="14"/>
  <c r="C2333" i="14"/>
  <c r="C2334" i="14"/>
  <c r="C2335" i="14"/>
  <c r="C2336" i="14"/>
  <c r="C2337" i="14"/>
  <c r="C2338" i="14"/>
  <c r="C2339" i="14"/>
  <c r="C2340" i="14"/>
  <c r="C2341" i="14"/>
  <c r="C2342" i="14"/>
  <c r="C2343" i="14"/>
  <c r="C2344" i="14"/>
  <c r="C2345" i="14"/>
  <c r="C2346" i="14"/>
  <c r="C2347" i="14"/>
  <c r="C2348" i="14"/>
  <c r="C2349" i="14"/>
  <c r="C2350" i="14"/>
  <c r="C2351" i="14"/>
  <c r="C2352" i="14"/>
  <c r="C2353" i="14"/>
  <c r="C2354" i="14"/>
  <c r="C2355" i="14"/>
  <c r="C2356" i="14"/>
  <c r="C2357" i="14"/>
  <c r="C2358" i="14"/>
  <c r="C2359" i="14"/>
  <c r="C2360" i="14"/>
  <c r="C2361" i="14"/>
  <c r="C2362" i="14"/>
  <c r="C2363" i="14"/>
  <c r="C2364" i="14"/>
  <c r="C2365" i="14"/>
  <c r="C2366" i="14"/>
  <c r="C2367" i="14"/>
  <c r="C2368" i="14"/>
  <c r="C2369" i="14"/>
  <c r="C2370" i="14"/>
  <c r="C2371" i="14"/>
  <c r="C2372" i="14"/>
  <c r="C2373" i="14"/>
  <c r="C2374" i="14"/>
  <c r="C2375" i="14"/>
  <c r="C2376" i="14"/>
  <c r="C2377" i="14"/>
  <c r="C2378" i="14"/>
  <c r="C2379" i="14"/>
  <c r="C2380" i="14"/>
  <c r="C2381" i="14"/>
  <c r="C2382" i="14"/>
  <c r="C2383" i="14"/>
  <c r="C2384" i="14"/>
  <c r="C2385" i="14"/>
  <c r="C2386" i="14"/>
  <c r="C2387" i="14"/>
  <c r="C2388" i="14"/>
  <c r="C2389" i="14"/>
  <c r="C2390" i="14"/>
  <c r="C2391" i="14"/>
  <c r="C2392" i="14"/>
  <c r="C2393" i="14"/>
  <c r="C2394" i="14"/>
  <c r="C2395" i="14"/>
  <c r="C2396" i="14"/>
  <c r="C2397" i="14"/>
  <c r="C2398" i="14"/>
  <c r="C2399" i="14"/>
  <c r="C2400" i="14"/>
  <c r="C2401" i="14"/>
  <c r="C2402" i="14"/>
  <c r="C2403" i="14"/>
  <c r="C2404" i="14"/>
  <c r="C2405" i="14"/>
  <c r="C2406" i="14"/>
  <c r="C2407" i="14"/>
  <c r="C2408" i="14"/>
  <c r="C2409" i="14"/>
  <c r="C2410" i="14"/>
  <c r="C2411" i="14"/>
  <c r="C2412" i="14"/>
  <c r="C2413" i="14"/>
  <c r="C2414" i="14"/>
  <c r="C2415" i="14"/>
  <c r="C2416" i="14"/>
  <c r="C2417" i="14"/>
  <c r="C2418" i="14"/>
  <c r="C2419" i="14"/>
  <c r="C2420" i="14"/>
  <c r="C2421" i="14"/>
  <c r="C2422" i="14"/>
  <c r="C2423" i="14"/>
  <c r="C2424" i="14"/>
  <c r="C2425" i="14"/>
  <c r="C2426" i="14"/>
  <c r="C2427" i="14"/>
  <c r="C2428" i="14"/>
  <c r="C2429" i="14"/>
  <c r="C2430" i="14"/>
  <c r="C2431" i="14"/>
  <c r="C2432" i="14"/>
  <c r="C2433" i="14"/>
  <c r="C2434" i="14"/>
  <c r="C2435" i="14"/>
  <c r="C2436" i="14"/>
  <c r="C2437" i="14"/>
  <c r="C2438" i="14"/>
  <c r="C2439" i="14"/>
  <c r="C2440" i="14"/>
  <c r="C2441" i="14"/>
  <c r="C2442" i="14"/>
  <c r="C2443" i="14"/>
  <c r="C2444" i="14"/>
  <c r="C2445" i="14"/>
  <c r="C2446" i="14"/>
  <c r="C2447" i="14"/>
  <c r="C2448" i="14"/>
  <c r="C2449" i="14"/>
  <c r="C2450" i="14"/>
  <c r="C2451" i="14"/>
  <c r="C2452" i="14"/>
  <c r="C2453" i="14"/>
  <c r="C2454" i="14"/>
  <c r="C2455" i="14"/>
  <c r="C2456" i="14"/>
  <c r="C2457" i="14"/>
  <c r="C2458" i="14"/>
  <c r="C2459" i="14"/>
  <c r="C2460" i="14"/>
  <c r="C2461" i="14"/>
  <c r="C2462" i="14"/>
  <c r="C2463" i="14"/>
  <c r="C2464" i="14"/>
  <c r="C2465" i="14"/>
  <c r="C2466" i="14"/>
  <c r="C2467" i="14"/>
  <c r="C2468" i="14"/>
  <c r="C2469" i="14"/>
  <c r="C2470" i="14"/>
  <c r="C2471" i="14"/>
  <c r="C2472" i="14"/>
  <c r="C2473" i="14"/>
  <c r="C2474" i="14"/>
  <c r="C2475" i="14"/>
  <c r="C2476" i="14"/>
  <c r="C2477" i="14"/>
  <c r="C2478" i="14"/>
  <c r="C2479" i="14"/>
  <c r="C2480" i="14"/>
  <c r="C2481" i="14"/>
  <c r="C2482" i="14"/>
  <c r="C2483" i="14"/>
  <c r="C2484" i="14"/>
  <c r="C2485" i="14"/>
  <c r="C2486" i="14"/>
  <c r="C2487" i="14"/>
  <c r="C2488" i="14"/>
  <c r="C2489" i="14"/>
  <c r="C2490" i="14"/>
  <c r="C2491" i="14"/>
  <c r="C2492" i="14"/>
  <c r="C2493" i="14"/>
  <c r="C2494" i="14"/>
  <c r="C2495" i="14"/>
  <c r="C2496" i="14"/>
  <c r="C2497" i="14"/>
  <c r="C2498" i="14"/>
  <c r="C2499" i="14"/>
  <c r="C2500" i="14"/>
  <c r="C2501" i="14"/>
  <c r="C2502" i="14"/>
  <c r="C2503" i="14"/>
  <c r="C2504" i="14"/>
  <c r="C2505" i="14"/>
  <c r="C2506" i="14"/>
  <c r="C2507" i="14"/>
  <c r="C2508" i="14"/>
  <c r="C2509" i="14"/>
  <c r="C2510" i="14"/>
  <c r="C2511" i="14"/>
  <c r="C2512" i="14"/>
  <c r="C2513" i="14"/>
  <c r="C2514" i="14"/>
  <c r="C2515" i="14"/>
  <c r="C2516" i="14"/>
  <c r="C2517" i="14"/>
  <c r="C2518" i="14"/>
  <c r="C4" i="14"/>
  <c r="H3" i="14" s="1"/>
  <c r="H5" i="14" s="1"/>
  <c r="AQ7" i="16" l="1"/>
  <c r="AP9" i="16"/>
  <c r="O8" i="17"/>
  <c r="O17" i="17" s="1"/>
  <c r="O11" i="17"/>
  <c r="C2" i="20"/>
  <c r="AP4" i="16"/>
  <c r="AQ2" i="16"/>
  <c r="O14" i="17"/>
  <c r="AO20" i="16"/>
  <c r="AP19" i="16"/>
  <c r="AQ17" i="16"/>
  <c r="AP24" i="16"/>
  <c r="AQ22" i="16"/>
  <c r="AO15" i="16"/>
  <c r="AO10" i="16"/>
  <c r="AO34" i="16"/>
  <c r="AO5" i="16"/>
  <c r="AO33" i="16"/>
  <c r="AP14" i="16"/>
  <c r="AQ12" i="16"/>
  <c r="AP32" i="16"/>
  <c r="H2" i="14"/>
  <c r="H7" i="14" s="1"/>
  <c r="AR2" i="16" l="1"/>
  <c r="AQ4" i="16"/>
  <c r="C4" i="20"/>
  <c r="C5" i="20"/>
  <c r="AQ9" i="16"/>
  <c r="AR7" i="16"/>
  <c r="AQ19" i="16"/>
  <c r="AR17" i="16"/>
  <c r="AP20" i="16"/>
  <c r="AQ24" i="16"/>
  <c r="AR22" i="16"/>
  <c r="AP25" i="16"/>
  <c r="AQ14" i="16"/>
  <c r="AR12" i="16"/>
  <c r="AQ32" i="16"/>
  <c r="AP10" i="16"/>
  <c r="AP33" i="16"/>
  <c r="AP5" i="16"/>
  <c r="AP34" i="16"/>
  <c r="AP15" i="16"/>
  <c r="C6" i="20" l="1"/>
  <c r="C7" i="20" s="1"/>
  <c r="C8" i="20"/>
  <c r="C12" i="20"/>
  <c r="C13" i="20" s="1"/>
  <c r="C18" i="20" s="1"/>
  <c r="C17" i="20"/>
  <c r="AR9" i="16"/>
  <c r="AS7" i="16"/>
  <c r="AS9" i="16" s="1"/>
  <c r="AS2" i="16"/>
  <c r="AS4" i="16" s="1"/>
  <c r="AR4" i="16"/>
  <c r="AQ20" i="16"/>
  <c r="AR19" i="16"/>
  <c r="AS17" i="16"/>
  <c r="AR24" i="16"/>
  <c r="AS22" i="16"/>
  <c r="P6" i="17" s="1"/>
  <c r="AQ25" i="16"/>
  <c r="AR14" i="16"/>
  <c r="AS12" i="16"/>
  <c r="P4" i="17" s="1"/>
  <c r="Q4" i="17" s="1"/>
  <c r="R4" i="17" s="1"/>
  <c r="AR32" i="16"/>
  <c r="AQ33" i="16"/>
  <c r="AQ5" i="16"/>
  <c r="AQ34" i="16"/>
  <c r="AQ10" i="16"/>
  <c r="AQ15" i="16"/>
  <c r="P3" i="17" l="1"/>
  <c r="S4" i="17"/>
  <c r="T4" i="17" s="1"/>
  <c r="C9" i="20"/>
  <c r="C10" i="20" s="1"/>
  <c r="C22" i="20" s="1"/>
  <c r="C24" i="20" s="1"/>
  <c r="P15" i="17"/>
  <c r="P26" i="17" s="1"/>
  <c r="Q6" i="17"/>
  <c r="D3" i="20"/>
  <c r="P2" i="17"/>
  <c r="P13" i="17"/>
  <c r="P24" i="17" s="1"/>
  <c r="P5" i="17"/>
  <c r="AS19" i="16"/>
  <c r="AR20" i="16"/>
  <c r="AR25" i="16"/>
  <c r="AS24" i="16"/>
  <c r="AS14" i="16"/>
  <c r="AS32" i="16"/>
  <c r="AR10" i="16"/>
  <c r="AR34" i="16"/>
  <c r="AR5" i="16"/>
  <c r="AR33" i="16"/>
  <c r="AR15" i="16"/>
  <c r="D2" i="20" l="1"/>
  <c r="P11" i="17"/>
  <c r="P22" i="17" s="1"/>
  <c r="Q2" i="17"/>
  <c r="R6" i="17"/>
  <c r="E3" i="20"/>
  <c r="P12" i="17"/>
  <c r="P23" i="17" s="1"/>
  <c r="Q3" i="17"/>
  <c r="R3" i="17" s="1"/>
  <c r="S3" i="17" s="1"/>
  <c r="T3" i="17" s="1"/>
  <c r="P14" i="17"/>
  <c r="P25" i="17" s="1"/>
  <c r="Q5" i="17"/>
  <c r="R5" i="17" s="1"/>
  <c r="AS20" i="16"/>
  <c r="P8" i="17"/>
  <c r="P17" i="17" s="1"/>
  <c r="AS25" i="16"/>
  <c r="AS15" i="16"/>
  <c r="AS33" i="16"/>
  <c r="AS34" i="16"/>
  <c r="AS5" i="16"/>
  <c r="AS10" i="16"/>
  <c r="F3" i="20" l="1"/>
  <c r="S6" i="17"/>
  <c r="E2" i="20"/>
  <c r="Q8" i="17"/>
  <c r="R2" i="17"/>
  <c r="D4" i="20"/>
  <c r="D5" i="20"/>
  <c r="Q17" i="17"/>
  <c r="D6" i="20" l="1"/>
  <c r="D7" i="20" s="1"/>
  <c r="D8" i="20"/>
  <c r="D12" i="20"/>
  <c r="D13" i="20" s="1"/>
  <c r="D18" i="20" s="1"/>
  <c r="D17" i="20"/>
  <c r="G3" i="20"/>
  <c r="T6" i="17"/>
  <c r="H3" i="20" s="1"/>
  <c r="S2" i="17"/>
  <c r="F2" i="20"/>
  <c r="E4" i="20"/>
  <c r="E5" i="20"/>
  <c r="S5" i="17"/>
  <c r="R8" i="17"/>
  <c r="R17" i="17" s="1"/>
  <c r="D9" i="20" l="1"/>
  <c r="D10" i="20" s="1"/>
  <c r="T2" i="17"/>
  <c r="G2" i="20"/>
  <c r="D22" i="20"/>
  <c r="D24" i="20" s="1"/>
  <c r="E6" i="20"/>
  <c r="E7" i="20" s="1"/>
  <c r="E12" i="20"/>
  <c r="E13" i="20" s="1"/>
  <c r="E18" i="20" s="1"/>
  <c r="E17" i="20"/>
  <c r="E8" i="20"/>
  <c r="F5" i="20"/>
  <c r="F4" i="20"/>
  <c r="T5" i="17"/>
  <c r="S8" i="17"/>
  <c r="S17" i="17" s="1"/>
  <c r="F6" i="20" l="1"/>
  <c r="F7" i="20" s="1"/>
  <c r="F8" i="20"/>
  <c r="F12" i="20"/>
  <c r="F13" i="20" s="1"/>
  <c r="F18" i="20" s="1"/>
  <c r="F17" i="20"/>
  <c r="H2" i="20"/>
  <c r="E9" i="20"/>
  <c r="E10" i="20" s="1"/>
  <c r="E22" i="20" s="1"/>
  <c r="E24" i="20" s="1"/>
  <c r="G4" i="20"/>
  <c r="G5" i="20"/>
  <c r="T8" i="17"/>
  <c r="T17" i="17" s="1"/>
  <c r="G6" i="20" l="1"/>
  <c r="G12" i="20"/>
  <c r="G13" i="20" s="1"/>
  <c r="G18" i="20" s="1"/>
  <c r="G17" i="20"/>
  <c r="G8" i="20"/>
  <c r="H5" i="20"/>
  <c r="H4" i="20"/>
  <c r="G7" i="20"/>
  <c r="F9" i="20"/>
  <c r="F10" i="20" s="1"/>
  <c r="F22" i="20" s="1"/>
  <c r="F24" i="20" s="1"/>
  <c r="G9" i="20" l="1"/>
  <c r="G10" i="20" s="1"/>
  <c r="G22" i="20" s="1"/>
  <c r="G24" i="20" s="1"/>
  <c r="H6" i="20"/>
  <c r="H7" i="20" s="1"/>
  <c r="H8" i="20"/>
  <c r="H12" i="20"/>
  <c r="H13" i="20" s="1"/>
  <c r="H18" i="20" s="1"/>
  <c r="H17" i="20"/>
  <c r="H9" i="20" l="1"/>
  <c r="H10" i="20" s="1"/>
  <c r="H22" i="20" s="1"/>
  <c r="H23" i="20" s="1"/>
  <c r="H24" i="20" s="1"/>
  <c r="B26" i="20" s="1"/>
  <c r="B27" i="20" s="1"/>
  <c r="B30" i="20" s="1"/>
  <c r="B32" i="20" s="1"/>
  <c r="B36" i="20" s="1"/>
</calcChain>
</file>

<file path=xl/sharedStrings.xml><?xml version="1.0" encoding="utf-8"?>
<sst xmlns="http://schemas.openxmlformats.org/spreadsheetml/2006/main" count="2977" uniqueCount="738">
  <si>
    <t>Apple Inc. (NasdaqGS:AAPL) &gt; Financials &gt; Key Stats</t>
  </si>
  <si>
    <t>In Millions of the trading currency, except per share items.</t>
  </si>
  <si>
    <t>Currency:</t>
  </si>
  <si>
    <t>Trading Currency</t>
  </si>
  <si>
    <t> </t>
  </si>
  <si>
    <t>Conversion:</t>
  </si>
  <si>
    <t>Historical</t>
  </si>
  <si>
    <t>Order:</t>
  </si>
  <si>
    <t>Latest on Right</t>
  </si>
  <si>
    <t>Units:</t>
  </si>
  <si>
    <t>S&amp;P Capital IQ (Default)</t>
  </si>
  <si>
    <t>Decimals:</t>
  </si>
  <si>
    <t>Capital IQ (Default)</t>
  </si>
  <si>
    <t>Dilution:</t>
  </si>
  <si>
    <t>Basic</t>
  </si>
  <si>
    <t>Key Financials¹</t>
  </si>
  <si>
    <t xml:space="preserve">For the Fiscal Period Ending
</t>
  </si>
  <si>
    <t>12 months
Sep-28-2013A</t>
  </si>
  <si>
    <t>12 months
Sep-27-2014A</t>
  </si>
  <si>
    <t>12 months
Sep-26-2015A</t>
  </si>
  <si>
    <t>12 months
Sep-24-2016A</t>
  </si>
  <si>
    <t>12 months
Sep-30-2017A</t>
  </si>
  <si>
    <t>12 months
Sep-29-2018A</t>
  </si>
  <si>
    <t>12 months
Sep-28-2019A</t>
  </si>
  <si>
    <t>12 months
Sep-26-2020A</t>
  </si>
  <si>
    <t>12 months
Sep-25-2021A</t>
  </si>
  <si>
    <t>12 months
Sep-24-2022A</t>
  </si>
  <si>
    <t>12 months
Sep-30-2023A</t>
  </si>
  <si>
    <t>LTM²
12 months
Dec-30-2023A</t>
  </si>
  <si>
    <t>12 months†
Sep-30-2024E</t>
  </si>
  <si>
    <t>Currency</t>
  </si>
  <si>
    <t>USD</t>
  </si>
  <si>
    <t>Total Revenue</t>
  </si>
  <si>
    <t xml:space="preserve">  Growth Over Prior Year</t>
  </si>
  <si>
    <t>Gross Profit</t>
  </si>
  <si>
    <t>-</t>
  </si>
  <si>
    <t xml:space="preserve">  Margin %</t>
  </si>
  <si>
    <t>EBITDA</t>
  </si>
  <si>
    <t>EBIT</t>
  </si>
  <si>
    <t>Earnings from Cont. Ops.</t>
  </si>
  <si>
    <t>Net Income</t>
  </si>
  <si>
    <t>Diluted EPS Excl. Extra Items³</t>
  </si>
  <si>
    <t xml:space="preserve"> </t>
  </si>
  <si>
    <t>Exchange Rate</t>
  </si>
  <si>
    <t>Conversion Method</t>
  </si>
  <si>
    <t>H</t>
  </si>
  <si>
    <t>S</t>
  </si>
  <si>
    <t>¹All results are taken from the most recently filed statement for each period. When there has been more than one, earlier filings can be viewed on the individual statement pages.</t>
  </si>
  <si>
    <t>²Growth rates for the LTM period are calculated against the LTM period ending 12 months before.</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</si>
  <si>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</si>
  <si>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</si>
  <si>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</si>
  <si>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Current Capitalization (Millions of USD)</t>
  </si>
  <si>
    <t>Share Price</t>
  </si>
  <si>
    <t>Shares Out.</t>
  </si>
  <si>
    <t>Market Capitalization</t>
  </si>
  <si>
    <t>- Cash &amp; Short Term Investments</t>
  </si>
  <si>
    <t>+ Total Debt</t>
  </si>
  <si>
    <t>+ Pref. Equity</t>
  </si>
  <si>
    <t>+ Total Minority Interest</t>
  </si>
  <si>
    <t>- Long Term Marketable Securities</t>
  </si>
  <si>
    <t>= Total Enterprise Value (TEV)</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</si>
  <si>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</si>
  <si>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</si>
  <si>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</si>
  <si>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</si>
  <si>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</si>
  <si>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</si>
  <si>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</si>
  <si>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</si>
  <si>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LTM
12 months
Dec-30-2023A</t>
  </si>
  <si>
    <t>12 months
Sep-30-2024E</t>
  </si>
  <si>
    <t>12 months
Sep-30-2025E</t>
  </si>
  <si>
    <t>12 months
Sep-30-2026E</t>
  </si>
  <si>
    <t>TEV/Total Revenue</t>
  </si>
  <si>
    <t>TEV/EBITDA</t>
  </si>
  <si>
    <t>TEV/EBIT</t>
  </si>
  <si>
    <t>P/Diluted EPS Before Extra</t>
  </si>
  <si>
    <t>P/BV</t>
  </si>
  <si>
    <t>Price/Tang BV</t>
  </si>
  <si>
    <t xml:space="preserve">
               </t>
  </si>
  <si>
    <t>Apple Inc. (NasdaqGS:AAPL) &gt; Financials &gt; Income Statement</t>
  </si>
  <si>
    <t>In Millions of the reported currency, except per share items.</t>
  </si>
  <si>
    <t>Template:</t>
  </si>
  <si>
    <t>Standard</t>
  </si>
  <si>
    <t>Restatement:</t>
  </si>
  <si>
    <t>Latest Filings</t>
  </si>
  <si>
    <t>Period Type:</t>
  </si>
  <si>
    <t>Annual</t>
  </si>
  <si>
    <t>Order:</t>
  </si>
  <si>
    <t>Currency:</t>
  </si>
  <si>
    <t>Reported Currency</t>
  </si>
  <si>
    <t>Conversion:</t>
  </si>
  <si>
    <t>Units:</t>
  </si>
  <si>
    <t>Decimals:</t>
  </si>
  <si>
    <t>Source:</t>
  </si>
  <si>
    <t>Capital IQ &amp; Proprietary Data</t>
  </si>
  <si>
    <t>Income Statement</t>
  </si>
  <si>
    <t>12 months
Sep-28-2013</t>
  </si>
  <si>
    <t>12 months
Sep-27-2014</t>
  </si>
  <si>
    <t>12 months
Sep-26-2015</t>
  </si>
  <si>
    <t>12 months
Sep-24-2016</t>
  </si>
  <si>
    <t>12 months
Sep-30-2017</t>
  </si>
  <si>
    <t>12 months
Sep-29-2018</t>
  </si>
  <si>
    <t>12 months
Sep-28-2019</t>
  </si>
  <si>
    <t>12 months
Sep-26-2020</t>
  </si>
  <si>
    <t>12 months
Sep-25-2021</t>
  </si>
  <si>
    <t>12 months
Sep-24-2022</t>
  </si>
  <si>
    <t>12 months
Sep-30-2023</t>
  </si>
  <si>
    <t>LTM
12 months
Dec-30-2023</t>
  </si>
  <si>
    <t>Revenue</t>
  </si>
  <si>
    <t xml:space="preserve">  = Net Sales</t>
  </si>
  <si>
    <t xml:space="preserve">  + Net Sale service</t>
  </si>
  <si>
    <t xml:space="preserve">  + Net Sales Product</t>
  </si>
  <si>
    <t>Other Revenue</t>
  </si>
  <si>
    <t xml:space="preserve">  Total Revenue</t>
  </si>
  <si>
    <t>Cost Of Goods Sold</t>
  </si>
  <si>
    <t xml:space="preserve">  = Services</t>
  </si>
  <si>
    <t xml:space="preserve">  + Cost of Sales-product</t>
  </si>
  <si>
    <t xml:space="preserve">  + Cost of Sales</t>
  </si>
  <si>
    <t xml:space="preserve">    - SBC (Cost of Revenues)</t>
  </si>
  <si>
    <t xml:space="preserve">  + SBC (Cost of Revenues)</t>
  </si>
  <si>
    <t xml:space="preserve">  Gross Profit</t>
  </si>
  <si>
    <t>Selling General &amp; Admin Exp.</t>
  </si>
  <si>
    <t xml:space="preserve">  = Advertising Expenses</t>
  </si>
  <si>
    <t xml:space="preserve">  + Selling, General and Administrative</t>
  </si>
  <si>
    <t xml:space="preserve">    - SBC (SG&amp;A Exp.)</t>
  </si>
  <si>
    <t xml:space="preserve">    - Advertising Expenses</t>
  </si>
  <si>
    <t xml:space="preserve">  + SBC (SG&amp;A Exp.)</t>
  </si>
  <si>
    <t>R &amp; D Exp.</t>
  </si>
  <si>
    <t xml:space="preserve">  = Research and Development</t>
  </si>
  <si>
    <t xml:space="preserve">  + Research and Development</t>
  </si>
  <si>
    <t xml:space="preserve">    - SBC (R&amp;D Exp.)</t>
  </si>
  <si>
    <t xml:space="preserve">  + SBC (R&amp;D Exp.)</t>
  </si>
  <si>
    <t>Depreciation &amp; Amort.</t>
  </si>
  <si>
    <t>Other Operating Expense/(Income)</t>
  </si>
  <si>
    <t xml:space="preserve">  Other Operating Exp., Total</t>
  </si>
  <si>
    <t xml:space="preserve">  Operating Income</t>
  </si>
  <si>
    <t>Interest Expense</t>
  </si>
  <si>
    <t xml:space="preserve">  = Interest Expense</t>
  </si>
  <si>
    <t xml:space="preserve">  + Interest Expense</t>
  </si>
  <si>
    <t>Interest and Invest. Income</t>
  </si>
  <si>
    <t xml:space="preserve">  = Interest and Investment Income</t>
  </si>
  <si>
    <t xml:space="preserve">  + Interest and Investment Income</t>
  </si>
  <si>
    <t xml:space="preserve">  Net Interest Exp.</t>
  </si>
  <si>
    <t>Other Non-Operating Inc. (Exp.)</t>
  </si>
  <si>
    <t xml:space="preserve">  = Other Income/expense-net</t>
  </si>
  <si>
    <t xml:space="preserve">    - Interest and Investment Income</t>
  </si>
  <si>
    <t xml:space="preserve">    - Interest Expense</t>
  </si>
  <si>
    <t xml:space="preserve">  + Other Income/expense-net</t>
  </si>
  <si>
    <t xml:space="preserve">  EBT Excl. Unusual Items</t>
  </si>
  <si>
    <t>Impairment of Goodwill</t>
  </si>
  <si>
    <t>Other Unusual Items</t>
  </si>
  <si>
    <t xml:space="preserve">  EBT Incl. Unusual Items</t>
  </si>
  <si>
    <t>Income Tax Expense</t>
  </si>
  <si>
    <t xml:space="preserve">  = Provision for Income Tax</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</si>
  <si>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</si>
  <si>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</si>
  <si>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</si>
  <si>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</si>
  <si>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</si>
  <si>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</si>
  <si>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</si>
  <si>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</si>
  <si>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</si>
  <si>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</si>
  <si>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</si>
  <si>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</si>
  <si>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</si>
  <si>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</si>
  <si>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</si>
  <si>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</si>
  <si>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</si>
  <si>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</si>
  <si>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</si>
  <si>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</si>
  <si>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Shares per Depository Receipt</t>
  </si>
  <si>
    <t>Supplemental Items</t>
  </si>
  <si>
    <t>EBITA</t>
  </si>
  <si>
    <t>EBITDAR</t>
  </si>
  <si>
    <t>NA</t>
  </si>
  <si>
    <t>As Reported Total Revenue*</t>
  </si>
  <si>
    <t>Effective Tax Rate %</t>
  </si>
  <si>
    <t>Current Domestic Taxes</t>
  </si>
  <si>
    <t>Current Foreign Taxes</t>
  </si>
  <si>
    <t>Total Current Taxes</t>
  </si>
  <si>
    <t>Deferred Domestic Taxes</t>
  </si>
  <si>
    <t>Deferred Foreign Taxes</t>
  </si>
  <si>
    <t>Total Deferred Taxes</t>
  </si>
  <si>
    <t>Normalized Net Income</t>
  </si>
  <si>
    <t>Interest on Long Term Debt</t>
  </si>
  <si>
    <t>Filing Date</t>
  </si>
  <si>
    <t>Restatement Type</t>
  </si>
  <si>
    <t>NC</t>
  </si>
  <si>
    <t>O</t>
  </si>
  <si>
    <t>Calculation Type</t>
  </si>
  <si>
    <t>REP</t>
  </si>
  <si>
    <t>LTM</t>
  </si>
  <si>
    <t>Supplemental Operating Expense Items</t>
  </si>
  <si>
    <t>Advertising Exp.</t>
  </si>
  <si>
    <t>Selling and Marketing Exp.</t>
  </si>
  <si>
    <t>R&amp;D Exp.</t>
  </si>
  <si>
    <t>Net Rental Exp.</t>
  </si>
  <si>
    <t>Imputed Oper. Lease Interest Exp.</t>
  </si>
  <si>
    <t>Imputed Oper. Lease Depreciation</t>
  </si>
  <si>
    <t>Stock-Based Comp., COGS</t>
  </si>
  <si>
    <t>Stock-Based Comp., R&amp;D Exp.</t>
  </si>
  <si>
    <t>Stock-Based Comp., SG&amp;A Exp.</t>
  </si>
  <si>
    <t>Stock-Based Comp., Unallocated</t>
  </si>
  <si>
    <t xml:space="preserve">  Stock-Based Comp., Total</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</si>
  <si>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</si>
  <si>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</si>
  <si>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Apple Inc. (NasdaqGS:AAPL) &gt; Financials &gt; Balance Sheet</t>
  </si>
  <si>
    <t>In Millions of the reported currency, except per share items.</t>
  </si>
  <si>
    <t>Template:</t>
  </si>
  <si>
    <t>Restatement:</t>
  </si>
  <si>
    <t>Period Type:</t>
  </si>
  <si>
    <t>Order:</t>
  </si>
  <si>
    <t>Currency:</t>
  </si>
  <si>
    <t>Conversion:</t>
  </si>
  <si>
    <t>Units:</t>
  </si>
  <si>
    <t>Decimals:</t>
  </si>
  <si>
    <t>Source:</t>
  </si>
  <si>
    <t>Balance Sheet</t>
  </si>
  <si>
    <t xml:space="preserve">Balance Sheet as of:
</t>
  </si>
  <si>
    <t>Restated
Sep-26-2015</t>
  </si>
  <si>
    <t>Reclassified
Sep-29-2018</t>
  </si>
  <si>
    <t>ASSETS</t>
  </si>
  <si>
    <t>Cash And Equivalents</t>
  </si>
  <si>
    <t xml:space="preserve">  = Cash and Cash Equivalents</t>
  </si>
  <si>
    <t xml:space="preserve">  + Cash and Cash Equivalents</t>
  </si>
  <si>
    <t>Short Term Investments</t>
  </si>
  <si>
    <t xml:space="preserve">  = Short-term Investments</t>
  </si>
  <si>
    <t xml:space="preserve">  + Short-term Marketable Securities</t>
  </si>
  <si>
    <t>Trading Asset Securities</t>
  </si>
  <si>
    <t xml:space="preserve">  = Derivative Trading Asset Securities</t>
  </si>
  <si>
    <t xml:space="preserve">  Total Cash &amp; ST Investments</t>
  </si>
  <si>
    <t>Accounts Receivable</t>
  </si>
  <si>
    <t xml:space="preserve">  = Accounts Receivables</t>
  </si>
  <si>
    <t xml:space="preserve">  + Allowance for Doubtful Accounts Receivable</t>
  </si>
  <si>
    <t xml:space="preserve">  + Accounts Receivables</t>
  </si>
  <si>
    <t xml:space="preserve">    - Allowance for Doubtful Accounts Receivable</t>
  </si>
  <si>
    <t>Other Receivables</t>
  </si>
  <si>
    <t xml:space="preserve">  = Other Receivables</t>
  </si>
  <si>
    <t xml:space="preserve">  + Vendor non-trade receivables</t>
  </si>
  <si>
    <t xml:space="preserve">  Total Receivables</t>
  </si>
  <si>
    <t>Inventory</t>
  </si>
  <si>
    <t xml:space="preserve">  = Inventories</t>
  </si>
  <si>
    <t xml:space="preserve">  + Inventory</t>
  </si>
  <si>
    <t xml:space="preserve">  + Inventories - Raw Materials</t>
  </si>
  <si>
    <t xml:space="preserve">  + Inventories - Finished Goods</t>
  </si>
  <si>
    <t>Deferred Tax Assets, Curr.</t>
  </si>
  <si>
    <t xml:space="preserve">  = Deferred Tax Assets</t>
  </si>
  <si>
    <t>Restricted Cash</t>
  </si>
  <si>
    <t xml:space="preserve">  = Restricted Cash</t>
  </si>
  <si>
    <t>Other Current Assets</t>
  </si>
  <si>
    <t xml:space="preserve">  = Other Current Assets</t>
  </si>
  <si>
    <t xml:space="preserve">  + Other Current Assets</t>
  </si>
  <si>
    <t xml:space="preserve">    - Derivative Assets, Current</t>
  </si>
  <si>
    <t xml:space="preserve">    - Derivative Trading Asset Securities</t>
  </si>
  <si>
    <t xml:space="preserve">  + Derivative Assets, Current</t>
  </si>
  <si>
    <t xml:space="preserve">  Total Current Assets</t>
  </si>
  <si>
    <t>Gross Property, Plant &amp; Equipment</t>
  </si>
  <si>
    <t xml:space="preserve">  = Right-of-Use asset-Operating lease-Gross</t>
  </si>
  <si>
    <t xml:space="preserve">  + Land</t>
  </si>
  <si>
    <t xml:space="preserve">  + Leasehold Improvements</t>
  </si>
  <si>
    <t xml:space="preserve">  + Machinery</t>
  </si>
  <si>
    <t xml:space="preserve">  + Gross Property Plant and Equipment</t>
  </si>
  <si>
    <t>Accumulated Depreciation</t>
  </si>
  <si>
    <t xml:space="preserve">  = Accumulated Depreciation</t>
  </si>
  <si>
    <t xml:space="preserve">  + Accumulated Depreciation</t>
  </si>
  <si>
    <t xml:space="preserve">  Net Property, Plant &amp; Equipment</t>
  </si>
  <si>
    <t>Long-term Investments</t>
  </si>
  <si>
    <t xml:space="preserve">  = Long Term Marketable Securities</t>
  </si>
  <si>
    <t xml:space="preserve">  + Long-term Marketable Securities</t>
  </si>
  <si>
    <t>Goodwill</t>
  </si>
  <si>
    <t xml:space="preserve">  = Goodwill</t>
  </si>
  <si>
    <t>Other Intangibles</t>
  </si>
  <si>
    <t xml:space="preserve">  = Accumulated Amortization of Intangible Assets</t>
  </si>
  <si>
    <t xml:space="preserve">  + Gross Intangible Assets</t>
  </si>
  <si>
    <t>Other Long-Term Assets</t>
  </si>
  <si>
    <t xml:space="preserve">  = Other Assets</t>
  </si>
  <si>
    <t xml:space="preserve">  + Other Assets</t>
  </si>
  <si>
    <t xml:space="preserve">    - Cash Restricted, Long-Term</t>
  </si>
  <si>
    <t xml:space="preserve">  + Cash Restricted, Long-Term</t>
  </si>
  <si>
    <t>Total Assets</t>
  </si>
  <si>
    <t>LIABILITIES</t>
  </si>
  <si>
    <t>Accounts Payable</t>
  </si>
  <si>
    <t xml:space="preserve">  = Accounts Payable</t>
  </si>
  <si>
    <t xml:space="preserve">  + Accounts Payable</t>
  </si>
  <si>
    <t>Accrued Exp.</t>
  </si>
  <si>
    <t xml:space="preserve">  = Accrued Expenses</t>
  </si>
  <si>
    <t xml:space="preserve">    - Other Current Liabilities</t>
  </si>
  <si>
    <t xml:space="preserve">    - Accrued Expenses</t>
  </si>
  <si>
    <t xml:space="preserve">    - Current Income Tax Payable</t>
  </si>
  <si>
    <t xml:space="preserve">    - Unearned Revenue, Current</t>
  </si>
  <si>
    <t xml:space="preserve">  + Accrued Expenses</t>
  </si>
  <si>
    <t xml:space="preserve">    - Warranty Liabilities</t>
  </si>
  <si>
    <t>Short-term Borrowings</t>
  </si>
  <si>
    <t xml:space="preserve">  = Loans Payable Current</t>
  </si>
  <si>
    <t xml:space="preserve">  + Commercial Paper</t>
  </si>
  <si>
    <t>Curr. Port. of LT Debt</t>
  </si>
  <si>
    <t xml:space="preserve">  = Current Portion of Long-term Debt</t>
  </si>
  <si>
    <t xml:space="preserve">  + Term Debt</t>
  </si>
  <si>
    <t xml:space="preserve">  + Current Portion of Long-term Debt</t>
  </si>
  <si>
    <t xml:space="preserve">  + Current Portion of Long Term Debt Derivative Instruments</t>
  </si>
  <si>
    <t>Curr. Port. of Leases</t>
  </si>
  <si>
    <t xml:space="preserve">  = Current Portion Of Lease Liabilities</t>
  </si>
  <si>
    <t xml:space="preserve">  + Current Portion of Capital Leases</t>
  </si>
  <si>
    <t>Curr. Income Taxes Payable</t>
  </si>
  <si>
    <t xml:space="preserve">  = Current Income Tax Payable</t>
  </si>
  <si>
    <t>Unearned Revenue, Current</t>
  </si>
  <si>
    <t xml:space="preserve">  = Deferred Revenue</t>
  </si>
  <si>
    <t xml:space="preserve">  + Unearned Revenue, Current</t>
  </si>
  <si>
    <t>Other Current Liabilities</t>
  </si>
  <si>
    <t xml:space="preserve">  = Other Current Liabilities</t>
  </si>
  <si>
    <t xml:space="preserve">  + Other Current Liabilities</t>
  </si>
  <si>
    <t xml:space="preserve">    - Current Portion Of Lease Liabilities</t>
  </si>
  <si>
    <t xml:space="preserve">    - Current Portion of Capital Leases</t>
  </si>
  <si>
    <t xml:space="preserve">  + Warranty Liabilities</t>
  </si>
  <si>
    <t xml:space="preserve">  + Derivative Liabilities – Current</t>
  </si>
  <si>
    <t xml:space="preserve">  Total Current Liabilities</t>
  </si>
  <si>
    <t>Long-Term Debt</t>
  </si>
  <si>
    <t xml:space="preserve">  = Long-term Debt</t>
  </si>
  <si>
    <t xml:space="preserve">  + Long-term Debt</t>
  </si>
  <si>
    <t>Long-Term Leases</t>
  </si>
  <si>
    <t xml:space="preserve">  = Long Term Portion Of Lease Liabilities</t>
  </si>
  <si>
    <t xml:space="preserve">  + Long-term Portion of Capital Lease</t>
  </si>
  <si>
    <t>Unearned Revenue, Non-Current</t>
  </si>
  <si>
    <t xml:space="preserve">  = Deferred Revenue-noncurrent</t>
  </si>
  <si>
    <t>Def. Tax Liability, Non-Curr.</t>
  </si>
  <si>
    <t xml:space="preserve">  = Deferred Tax Liability, Non-current</t>
  </si>
  <si>
    <t xml:space="preserve">  + Deferred Tax Liability, Non-current</t>
  </si>
  <si>
    <t>Other Non-Current Liabilities</t>
  </si>
  <si>
    <t xml:space="preserve">  = Other Non-current Liabilities</t>
  </si>
  <si>
    <t xml:space="preserve">    - Deferred Tax Liability, Non-current</t>
  </si>
  <si>
    <t xml:space="preserve">    - Long-term Portion of Capital Lease</t>
  </si>
  <si>
    <t xml:space="preserve">    - Other Non-current Liabilities</t>
  </si>
  <si>
    <t xml:space="preserve">  + Other Non-current Liabilities</t>
  </si>
  <si>
    <t>Total Liabilities</t>
  </si>
  <si>
    <t>Common Stock</t>
  </si>
  <si>
    <t xml:space="preserve">  = Common Stock - Par Value</t>
  </si>
  <si>
    <t>Additional Paid In Capital</t>
  </si>
  <si>
    <t>Retained Earnings</t>
  </si>
  <si>
    <t xml:space="preserve">  = Retained Earnings (Accumulated Deficit)</t>
  </si>
  <si>
    <t xml:space="preserve">  + Retained Earnings</t>
  </si>
  <si>
    <t>Treasury Stock</t>
  </si>
  <si>
    <t>Comprehensive Inc. and Other</t>
  </si>
  <si>
    <t xml:space="preserve">  = Accumulated Other Comprehensive Income (Loss)</t>
  </si>
  <si>
    <t xml:space="preserve">  + Accumulated Other Comprehensive Income (Loss)</t>
  </si>
  <si>
    <t xml:space="preserve">    - Accumulated Currency Gain/Loss</t>
  </si>
  <si>
    <t xml:space="preserve">    - Comprehensive Income</t>
  </si>
  <si>
    <t xml:space="preserve">  + Accumulated Currency Gain/Loss</t>
  </si>
  <si>
    <t xml:space="preserve">  Total Common Equity</t>
  </si>
  <si>
    <t>Total Equity</t>
  </si>
  <si>
    <t>Total Liabilities And Equity</t>
  </si>
  <si>
    <t>Total Shares Out. on Filing Date</t>
  </si>
  <si>
    <t xml:space="preserve">  = Common Stock</t>
  </si>
  <si>
    <t>Total Shares Out. on Balance Sheet Date</t>
  </si>
  <si>
    <t>Book Value/Share</t>
  </si>
  <si>
    <t>Tangible Book Value</t>
  </si>
  <si>
    <t>Tangible Book Value/Share</t>
  </si>
  <si>
    <t>Total Debt</t>
  </si>
  <si>
    <t>Net Debt</t>
  </si>
  <si>
    <t>Debt Equivalent Oper. Leases</t>
  </si>
  <si>
    <t>Inventory Method</t>
  </si>
  <si>
    <t>FIFO</t>
  </si>
  <si>
    <t>Raw Materials Inventory</t>
  </si>
  <si>
    <t>Finished Goods Inventory</t>
  </si>
  <si>
    <t>Land</t>
  </si>
  <si>
    <t>Machinery</t>
  </si>
  <si>
    <t>Leasehold Improvements</t>
  </si>
  <si>
    <t>Full Time Employees</t>
  </si>
  <si>
    <t>Accum. Allowance for Doubtful Accts</t>
  </si>
  <si>
    <t>RS</t>
  </si>
  <si>
    <t>RC</t>
  </si>
  <si>
    <t>RUP</t>
  </si>
  <si>
    <t>Note: For multiple class companies, total share counts are primary class equivalent, and for foreign companies listed as primary ADRs, total share counts are ADR-equivalent.</t>
  </si>
  <si>
    <t>Apple Inc. (NasdaqGS:AAPL) &gt; Financials &gt; Cash Flow</t>
  </si>
  <si>
    <t>In Millions of the reported currency, except per share items.</t>
  </si>
  <si>
    <t>Template:</t>
  </si>
  <si>
    <t>Restatement:</t>
  </si>
  <si>
    <t>Period Type:</t>
  </si>
  <si>
    <t>Order:</t>
  </si>
  <si>
    <t>Currency:</t>
  </si>
  <si>
    <t>Conversion:</t>
  </si>
  <si>
    <t>Units:</t>
  </si>
  <si>
    <t>Decimals:</t>
  </si>
  <si>
    <t>Source:</t>
  </si>
  <si>
    <t>Cash Flow</t>
  </si>
  <si>
    <t>Restated
12 months
Sep-24-2016</t>
  </si>
  <si>
    <t>Restated
12 months
Sep-30-2017</t>
  </si>
  <si>
    <t xml:space="preserve">  = Depreciation from Notes</t>
  </si>
  <si>
    <t xml:space="preserve">  + Depreciation and Amortization</t>
  </si>
  <si>
    <t xml:space="preserve">    - Depreciation from Notes</t>
  </si>
  <si>
    <t xml:space="preserve">    - Amortization of Intangible Assets</t>
  </si>
  <si>
    <t>Amort. of Goodwill and Intangibles</t>
  </si>
  <si>
    <t xml:space="preserve">  = Amortization of Intangible Assets</t>
  </si>
  <si>
    <t>Depreciation &amp; Amort., Total</t>
  </si>
  <si>
    <t>Stock-Based Compensation</t>
  </si>
  <si>
    <t xml:space="preserve">  = Stock Based Compenation Expense</t>
  </si>
  <si>
    <t>Other Operating Activities</t>
  </si>
  <si>
    <t xml:space="preserve">  = Others</t>
  </si>
  <si>
    <t xml:space="preserve">  + Deferred Income Tax Income/expense</t>
  </si>
  <si>
    <t xml:space="preserve">  + Adjustments to Reconcile Net Income to Cash Generated By Operating Activities : Other</t>
  </si>
  <si>
    <t>Change in Acc. Receivable</t>
  </si>
  <si>
    <t xml:space="preserve">  = Accounts Receivable</t>
  </si>
  <si>
    <t>Change In Inventories</t>
  </si>
  <si>
    <t>Change in Acc. Payable</t>
  </si>
  <si>
    <t>Change in Unearned Rev.</t>
  </si>
  <si>
    <t>Change in Other Net Operating Assets</t>
  </si>
  <si>
    <t xml:space="preserve">  = Other Current and Non-current Assets</t>
  </si>
  <si>
    <t xml:space="preserve">  + Other Current and Non-current Liabilities</t>
  </si>
  <si>
    <t xml:space="preserve">  + Vendor Non-trade Receivables</t>
  </si>
  <si>
    <t xml:space="preserve">  Cash from Ops.</t>
  </si>
  <si>
    <t>Capital Expenditure</t>
  </si>
  <si>
    <t xml:space="preserve">  = Purchase of Property Plant, and Equipment</t>
  </si>
  <si>
    <t>Cash Acquisitions</t>
  </si>
  <si>
    <t xml:space="preserve">  = Payments Made in Connection With Business Acquisitions, Net of Cash Acquired</t>
  </si>
  <si>
    <t>Divestitures</t>
  </si>
  <si>
    <t>Sale (Purchase) of Intangible assets</t>
  </si>
  <si>
    <t xml:space="preserve">  = Payment for Acquisition of Intangible Assets</t>
  </si>
  <si>
    <t>Invest. in Marketable &amp; Equity Securt.</t>
  </si>
  <si>
    <t xml:space="preserve">  = Proceeds from Sale of Marketable Securities</t>
  </si>
  <si>
    <t xml:space="preserve">  + Purchases of Non-marketable Securities</t>
  </si>
  <si>
    <t xml:space="preserve">  + Purchase of Marketable Securities</t>
  </si>
  <si>
    <t xml:space="preserve">  + Proceeds from maturities of marketable securities</t>
  </si>
  <si>
    <t xml:space="preserve">  + Proceeds from Nonmarketable Securities</t>
  </si>
  <si>
    <t xml:space="preserve">  + Payments for Strategic Investments</t>
  </si>
  <si>
    <t>Net (Inc.) Dec. in Loans Originated/Sold</t>
  </si>
  <si>
    <t>Other Investing Activities</t>
  </si>
  <si>
    <t xml:space="preserve">  Cash from Investing</t>
  </si>
  <si>
    <t>Short Term Debt Issued</t>
  </si>
  <si>
    <t xml:space="preserve">  = Change in Commercial Paper, Net</t>
  </si>
  <si>
    <t>Long-Term Debt Issued</t>
  </si>
  <si>
    <t xml:space="preserve">  = Proceeds from Issuance of Term Debt, Net</t>
  </si>
  <si>
    <t>Total Debt Issued</t>
  </si>
  <si>
    <t>Short Term Debt Repaid</t>
  </si>
  <si>
    <t>Long-Term Debt Repaid</t>
  </si>
  <si>
    <t xml:space="preserve">  = Repayments of Term Debt</t>
  </si>
  <si>
    <t>Total Debt Repaid</t>
  </si>
  <si>
    <t>Issuance of Common Stock</t>
  </si>
  <si>
    <t xml:space="preserve">  = Proceeds from Issuance of Common Stock</t>
  </si>
  <si>
    <t>Repurchase of Common Stock</t>
  </si>
  <si>
    <t xml:space="preserve">  = Repurchase of Common Stock</t>
  </si>
  <si>
    <t xml:space="preserve">  + Taxes Paid Related to Net Share Settlement of Equity Awards</t>
  </si>
  <si>
    <t>Common Dividends Paid</t>
  </si>
  <si>
    <t xml:space="preserve">  = Common Stock Dividends Paid</t>
  </si>
  <si>
    <t xml:space="preserve">  + Cash Dividends</t>
  </si>
  <si>
    <t>Total Dividends Paid</t>
  </si>
  <si>
    <t>Special Dividend Paid</t>
  </si>
  <si>
    <t>Other Financing Activities</t>
  </si>
  <si>
    <t xml:space="preserve">  + Excess Tax Benefits from Stock-based Compensation</t>
  </si>
  <si>
    <t xml:space="preserve">  Cash from Financing</t>
  </si>
  <si>
    <t xml:space="preserve">  Net Change in Cash</t>
  </si>
  <si>
    <t>Cash Interest Paid</t>
  </si>
  <si>
    <t>Cash Taxes Paid</t>
  </si>
  <si>
    <t>Levered Free Cash Flow</t>
  </si>
  <si>
    <t>Unlevered Free Cash Flow</t>
  </si>
  <si>
    <t>Change in Net Working Capital</t>
  </si>
  <si>
    <t>Net Debt Issued</t>
  </si>
  <si>
    <t xml:space="preserve">  Total Assets</t>
  </si>
  <si>
    <t>Apple Inc. (NasdaqGS:AAPL) &gt; Financials &gt; Segments</t>
  </si>
  <si>
    <t>In Millions of the reported currency.</t>
  </si>
  <si>
    <t>View By:</t>
  </si>
  <si>
    <t>Line Items</t>
  </si>
  <si>
    <t>Restatement:</t>
  </si>
  <si>
    <t>Period Type:</t>
  </si>
  <si>
    <t>Order:</t>
  </si>
  <si>
    <t>Currency:</t>
  </si>
  <si>
    <t>Conversion:</t>
  </si>
  <si>
    <t>Units:</t>
  </si>
  <si>
    <t>Decimals:</t>
  </si>
  <si>
    <t>Business Segments</t>
  </si>
  <si>
    <t>Revenues</t>
  </si>
  <si>
    <t>Americas</t>
  </si>
  <si>
    <t>Europe</t>
  </si>
  <si>
    <t>Greater China</t>
  </si>
  <si>
    <t>Japan</t>
  </si>
  <si>
    <t>Rest of Asia Pacific</t>
  </si>
  <si>
    <t xml:space="preserve">  Total Revenues</t>
  </si>
  <si>
    <t>Operating Profit Before Tax</t>
  </si>
  <si>
    <t>Unallocated Research and Development Expense</t>
  </si>
  <si>
    <t>Other Corporate Expenses, Net</t>
  </si>
  <si>
    <t xml:space="preserve">  Total Operating Profit Before Tax</t>
  </si>
  <si>
    <t>Assets</t>
  </si>
  <si>
    <t>Retail</t>
  </si>
  <si>
    <t>Corporate Assets</t>
  </si>
  <si>
    <t>Geographic Segments</t>
  </si>
  <si>
    <t>United States (U.S.)</t>
  </si>
  <si>
    <t>Other Countries</t>
  </si>
  <si>
    <t>Date</t>
  </si>
  <si>
    <t>Daily</t>
    <phoneticPr fontId="20" type="noConversion"/>
  </si>
  <si>
    <t>S&amp;P 500</t>
    <phoneticPr fontId="21" type="noConversion"/>
  </si>
  <si>
    <t>AAPL_Adj Close</t>
    <phoneticPr fontId="20" type="noConversion"/>
  </si>
  <si>
    <t>Weekly</t>
    <phoneticPr fontId="20" type="noConversion"/>
  </si>
  <si>
    <t>S&amp;P 500</t>
    <phoneticPr fontId="20" type="noConversion"/>
  </si>
  <si>
    <t>Log-return AAPL</t>
    <phoneticPr fontId="20" type="noConversion"/>
  </si>
  <si>
    <t>Log-return S&amp;P 500</t>
    <phoneticPr fontId="20" type="noConversion"/>
  </si>
  <si>
    <t>Covariance</t>
    <phoneticPr fontId="20" type="noConversion"/>
  </si>
  <si>
    <t>Variance(S&amp;P)</t>
    <phoneticPr fontId="20" type="noConversion"/>
  </si>
  <si>
    <t>Volatility(AAPL)</t>
    <phoneticPr fontId="20" type="noConversion"/>
  </si>
  <si>
    <t>beta</t>
    <phoneticPr fontId="20" type="noConversion"/>
  </si>
  <si>
    <t>Annualized Volatility</t>
    <phoneticPr fontId="20" type="noConversion"/>
  </si>
  <si>
    <t>Average Volatility</t>
    <phoneticPr fontId="20" type="noConversion"/>
  </si>
  <si>
    <t>Average beta</t>
    <phoneticPr fontId="20" type="noConversion"/>
  </si>
  <si>
    <t>10y Avg beta</t>
    <phoneticPr fontId="20" type="noConversion"/>
  </si>
  <si>
    <t>FY2021</t>
    <phoneticPr fontId="20" type="noConversion"/>
  </si>
  <si>
    <t>FY2011</t>
  </si>
  <si>
    <t>FY2012</t>
  </si>
  <si>
    <t>FY2013</t>
  </si>
  <si>
    <t>FY2014</t>
  </si>
  <si>
    <t>FY2015</t>
  </si>
  <si>
    <t>FY2016</t>
  </si>
  <si>
    <t>FY2017</t>
  </si>
  <si>
    <t>FY2018</t>
  </si>
  <si>
    <t>FY2019</t>
  </si>
  <si>
    <t>FY2020</t>
  </si>
  <si>
    <t>4Q19</t>
    <phoneticPr fontId="21" type="noConversion"/>
  </si>
  <si>
    <t>1Q20</t>
    <phoneticPr fontId="21" type="noConversion"/>
  </si>
  <si>
    <t>2Q20</t>
    <phoneticPr fontId="21" type="noConversion"/>
  </si>
  <si>
    <t>3Q20</t>
    <phoneticPr fontId="21" type="noConversion"/>
  </si>
  <si>
    <t>4Q20</t>
    <phoneticPr fontId="21" type="noConversion"/>
  </si>
  <si>
    <t>1Q21</t>
    <phoneticPr fontId="21" type="noConversion"/>
  </si>
  <si>
    <t>2Q21</t>
    <phoneticPr fontId="21" type="noConversion"/>
  </si>
  <si>
    <t>3Q21</t>
    <phoneticPr fontId="21" type="noConversion"/>
  </si>
  <si>
    <t>4Q21</t>
    <phoneticPr fontId="21" type="noConversion"/>
  </si>
  <si>
    <t>1Q22</t>
    <phoneticPr fontId="21" type="noConversion"/>
  </si>
  <si>
    <t>2Q22</t>
    <phoneticPr fontId="21" type="noConversion"/>
  </si>
  <si>
    <t>3Q22</t>
    <phoneticPr fontId="21" type="noConversion"/>
  </si>
  <si>
    <t>4Q22</t>
    <phoneticPr fontId="21" type="noConversion"/>
  </si>
  <si>
    <t>1Q23</t>
    <phoneticPr fontId="21" type="noConversion"/>
  </si>
  <si>
    <t>iPhone</t>
    <phoneticPr fontId="21" type="noConversion"/>
  </si>
  <si>
    <t>QoQ</t>
    <phoneticPr fontId="21" type="noConversion"/>
  </si>
  <si>
    <t>YoY</t>
    <phoneticPr fontId="21" type="noConversion"/>
  </si>
  <si>
    <t>Mac</t>
    <phoneticPr fontId="21" type="noConversion"/>
  </si>
  <si>
    <t>iPad</t>
    <phoneticPr fontId="21" type="noConversion"/>
  </si>
  <si>
    <t>Wearables, Home and Accessories</t>
    <phoneticPr fontId="21" type="noConversion"/>
  </si>
  <si>
    <t>Services</t>
    <phoneticPr fontId="21" type="noConversion"/>
  </si>
  <si>
    <t>Other Products</t>
    <phoneticPr fontId="21" type="noConversion"/>
  </si>
  <si>
    <t>Net Sales</t>
    <phoneticPr fontId="21" type="noConversion"/>
  </si>
  <si>
    <t>Sales</t>
    <phoneticPr fontId="21" type="noConversion"/>
  </si>
  <si>
    <t>Total Net Sales</t>
    <phoneticPr fontId="21" type="noConversion"/>
  </si>
  <si>
    <t>FY2022</t>
    <phoneticPr fontId="21" type="noConversion"/>
  </si>
  <si>
    <t>FY2023</t>
    <phoneticPr fontId="21" type="noConversion"/>
  </si>
  <si>
    <t>FY4Q23</t>
    <phoneticPr fontId="21" type="noConversion"/>
  </si>
  <si>
    <t>FY3Q23</t>
    <phoneticPr fontId="21" type="noConversion"/>
  </si>
  <si>
    <t>FY3Q18</t>
  </si>
  <si>
    <t>FY4Q18</t>
  </si>
  <si>
    <t>FY3Q19</t>
  </si>
  <si>
    <t>FY4Q19</t>
  </si>
  <si>
    <t>FY3Q20</t>
  </si>
  <si>
    <t>FY4Q20</t>
  </si>
  <si>
    <t>FY3Q21</t>
  </si>
  <si>
    <t>FY4Q21</t>
  </si>
  <si>
    <t>FY3Q22</t>
  </si>
  <si>
    <t>FY4Q22</t>
  </si>
  <si>
    <t>FY2Q23</t>
    <phoneticPr fontId="21" type="noConversion"/>
  </si>
  <si>
    <t>FY1Q23</t>
    <phoneticPr fontId="21" type="noConversion"/>
  </si>
  <si>
    <t>FY1Q15</t>
  </si>
  <si>
    <t>FY2Q15</t>
  </si>
  <si>
    <t>FY3Q15</t>
  </si>
  <si>
    <t>FY4Q15</t>
  </si>
  <si>
    <t>FY1Q16</t>
  </si>
  <si>
    <t>FY2Q16</t>
  </si>
  <si>
    <t>FY3Q16</t>
  </si>
  <si>
    <t>FY4Q16</t>
  </si>
  <si>
    <t>FY1Q17</t>
  </si>
  <si>
    <t>FY2Q17</t>
  </si>
  <si>
    <t>FY3Q17</t>
  </si>
  <si>
    <t>FY4Q17</t>
  </si>
  <si>
    <t>FY1Q18</t>
  </si>
  <si>
    <t>FY2Q18</t>
  </si>
  <si>
    <t>FY1Q19</t>
  </si>
  <si>
    <t>FY2Q19</t>
  </si>
  <si>
    <t>FY1Q20</t>
  </si>
  <si>
    <t>FY2Q20</t>
  </si>
  <si>
    <t>FY1Q21</t>
  </si>
  <si>
    <t>FY2Q21</t>
  </si>
  <si>
    <t>FY1Q22</t>
  </si>
  <si>
    <t>FY2Q22</t>
  </si>
  <si>
    <t>rf</t>
    <phoneticPr fontId="20" type="noConversion"/>
  </si>
  <si>
    <t>(30-year US Treasury bond yield, found at treasury.gov)</t>
    <phoneticPr fontId="20" type="noConversion"/>
  </si>
  <si>
    <t>r(E)</t>
    <phoneticPr fontId="20" type="noConversion"/>
  </si>
  <si>
    <t>by CAPM: r(E) = rf + beta * risk premium</t>
    <phoneticPr fontId="20" type="noConversion"/>
  </si>
  <si>
    <t>r(D)</t>
    <phoneticPr fontId="20" type="noConversion"/>
  </si>
  <si>
    <t>YTW of 2053/5/10 AAPL corporate bond rated AA+</t>
    <phoneticPr fontId="20" type="noConversion"/>
  </si>
  <si>
    <t>Equity Value(Market Cap)</t>
    <phoneticPr fontId="20" type="noConversion"/>
  </si>
  <si>
    <t>Net Debt Calculation</t>
    <phoneticPr fontId="0" type="noConversion"/>
  </si>
  <si>
    <t>Debt</t>
    <phoneticPr fontId="0" type="noConversion"/>
  </si>
  <si>
    <t>Cash</t>
    <phoneticPr fontId="0" type="noConversion"/>
  </si>
  <si>
    <t>Net Debt</t>
    <phoneticPr fontId="0" type="noConversion"/>
  </si>
  <si>
    <t>Net Debt</t>
    <phoneticPr fontId="20" type="noConversion"/>
  </si>
  <si>
    <t>E/V</t>
    <phoneticPr fontId="20" type="noConversion"/>
  </si>
  <si>
    <t>D/V</t>
    <phoneticPr fontId="20" type="noConversion"/>
  </si>
  <si>
    <t>Tax Rate (Excl Unusual)</t>
    <phoneticPr fontId="0" type="noConversion"/>
  </si>
  <si>
    <t>Tax Rate (Incl Unusual)</t>
    <phoneticPr fontId="0" type="noConversion"/>
  </si>
  <si>
    <t>5-yr avg</t>
    <phoneticPr fontId="0" type="noConversion"/>
  </si>
  <si>
    <t>5-yr avg by FY</t>
    <phoneticPr fontId="0" type="noConversion"/>
  </si>
  <si>
    <t>Tax Rate</t>
    <phoneticPr fontId="20" type="noConversion"/>
  </si>
  <si>
    <t>Effective Tax Rate</t>
    <phoneticPr fontId="20" type="noConversion"/>
  </si>
  <si>
    <t>WACC</t>
    <phoneticPr fontId="20" type="noConversion"/>
  </si>
  <si>
    <t>Average</t>
    <phoneticPr fontId="20" type="noConversion"/>
  </si>
  <si>
    <t>FY1Q24</t>
    <phoneticPr fontId="21" type="noConversion"/>
  </si>
  <si>
    <t>Vision Pro</t>
    <phoneticPr fontId="20" type="noConversion"/>
  </si>
  <si>
    <t>Rev Contribution</t>
    <phoneticPr fontId="20" type="noConversion"/>
  </si>
  <si>
    <t>Shipment(mn)</t>
    <phoneticPr fontId="20" type="noConversion"/>
  </si>
  <si>
    <t>Unit Price(USD)</t>
    <phoneticPr fontId="20" type="noConversion"/>
  </si>
  <si>
    <t>5-yr avg</t>
    <phoneticPr fontId="20" type="noConversion"/>
  </si>
  <si>
    <t>N/A</t>
    <phoneticPr fontId="20" type="noConversion"/>
  </si>
  <si>
    <t>by Segment_Q</t>
    <phoneticPr fontId="20" type="noConversion"/>
  </si>
  <si>
    <t>Our Estimate</t>
    <phoneticPr fontId="20" type="noConversion"/>
  </si>
  <si>
    <t>Gross Margin (Product)</t>
    <phoneticPr fontId="0" type="noConversion"/>
  </si>
  <si>
    <t>Gross Margin (Service)</t>
    <phoneticPr fontId="0" type="noConversion"/>
  </si>
  <si>
    <t>Our Estimate</t>
    <phoneticPr fontId="0" type="noConversion"/>
  </si>
  <si>
    <t>FY2024E</t>
    <phoneticPr fontId="21" type="noConversion"/>
  </si>
  <si>
    <t>FY2025E</t>
    <phoneticPr fontId="21" type="noConversion"/>
  </si>
  <si>
    <t>FY2026E</t>
    <phoneticPr fontId="20" type="noConversion"/>
  </si>
  <si>
    <t>FY2027E</t>
    <phoneticPr fontId="20" type="noConversion"/>
  </si>
  <si>
    <t>FY2028E</t>
    <phoneticPr fontId="20" type="noConversion"/>
  </si>
  <si>
    <t>FY2029E</t>
    <phoneticPr fontId="20" type="noConversion"/>
  </si>
  <si>
    <t>FY2Q24E</t>
    <phoneticPr fontId="21" type="noConversion"/>
  </si>
  <si>
    <t>FY3Q24E</t>
    <phoneticPr fontId="21" type="noConversion"/>
  </si>
  <si>
    <t>FY4Q24E</t>
    <phoneticPr fontId="21" type="noConversion"/>
  </si>
  <si>
    <t>FY1Q25E</t>
    <phoneticPr fontId="21" type="noConversion"/>
  </si>
  <si>
    <t>FY2Q25E</t>
    <phoneticPr fontId="21" type="noConversion"/>
  </si>
  <si>
    <t>FY3Q25E</t>
    <phoneticPr fontId="21" type="noConversion"/>
  </si>
  <si>
    <t>FY4Q25E</t>
    <phoneticPr fontId="21" type="noConversion"/>
  </si>
  <si>
    <t>Our Estimate(Using near term)</t>
    <phoneticPr fontId="0" type="noConversion"/>
  </si>
  <si>
    <t>Product Revenue</t>
    <phoneticPr fontId="20" type="noConversion"/>
  </si>
  <si>
    <t>Service Revenue</t>
    <phoneticPr fontId="20" type="noConversion"/>
  </si>
  <si>
    <t>Gross Margin Estimate</t>
    <phoneticPr fontId="20" type="noConversion"/>
  </si>
  <si>
    <t>Operating Expense/Revenue</t>
    <phoneticPr fontId="0" type="noConversion"/>
  </si>
  <si>
    <t>Operating Exp/Revenue</t>
    <phoneticPr fontId="20" type="noConversion"/>
  </si>
  <si>
    <t>Operating Profit</t>
    <phoneticPr fontId="20" type="noConversion"/>
  </si>
  <si>
    <t>Gross Profit</t>
    <phoneticPr fontId="20" type="noConversion"/>
  </si>
  <si>
    <t>Operating Expense</t>
    <phoneticPr fontId="20" type="noConversion"/>
  </si>
  <si>
    <t>Total Revenue</t>
    <phoneticPr fontId="20" type="noConversion"/>
  </si>
  <si>
    <t>FY2023</t>
    <phoneticPr fontId="20" type="noConversion"/>
  </si>
  <si>
    <t>Depreciation Expense Calculation</t>
    <phoneticPr fontId="20" type="noConversion"/>
  </si>
  <si>
    <t>Revenue</t>
    <phoneticPr fontId="20" type="noConversion"/>
  </si>
  <si>
    <t>Dep &amp; Amort from CFS</t>
    <phoneticPr fontId="20" type="noConversion"/>
  </si>
  <si>
    <t>Dep / Revenue Ratio</t>
    <phoneticPr fontId="20" type="noConversion"/>
  </si>
  <si>
    <t>Dep &amp; Amort Expense</t>
    <phoneticPr fontId="20" type="noConversion"/>
  </si>
  <si>
    <t>Taxable Income</t>
    <phoneticPr fontId="20" type="noConversion"/>
  </si>
  <si>
    <t>Tax Expense</t>
    <phoneticPr fontId="20" type="noConversion"/>
  </si>
  <si>
    <t>Capex Calculation</t>
    <phoneticPr fontId="20" type="noConversion"/>
  </si>
  <si>
    <t>Capex from CFS</t>
    <phoneticPr fontId="20" type="noConversion"/>
  </si>
  <si>
    <t>Capex / Revenue Ratio</t>
    <phoneticPr fontId="20" type="noConversion"/>
  </si>
  <si>
    <t>Net Working Capital</t>
    <phoneticPr fontId="0" type="noConversion"/>
  </si>
  <si>
    <t>Net Working Capital Calculation</t>
    <phoneticPr fontId="20" type="noConversion"/>
  </si>
  <si>
    <t>Net Working Capital</t>
    <phoneticPr fontId="20" type="noConversion"/>
  </si>
  <si>
    <t>NWC / Revenue Ratio</t>
    <phoneticPr fontId="20" type="noConversion"/>
  </si>
  <si>
    <t>FCF Adjustments</t>
    <phoneticPr fontId="20" type="noConversion"/>
  </si>
  <si>
    <t>(-)Capex</t>
    <phoneticPr fontId="20" type="noConversion"/>
  </si>
  <si>
    <t>NWC</t>
    <phoneticPr fontId="20" type="noConversion"/>
  </si>
  <si>
    <t>Change in NWC</t>
    <phoneticPr fontId="20" type="noConversion"/>
  </si>
  <si>
    <t>(-) Change in NWC</t>
    <phoneticPr fontId="20" type="noConversion"/>
  </si>
  <si>
    <t>Free Cash Flow</t>
    <phoneticPr fontId="20" type="noConversion"/>
  </si>
  <si>
    <t>Terminal Value</t>
    <phoneticPr fontId="20" type="noConversion"/>
  </si>
  <si>
    <t>Estimate LT Growth Rate</t>
    <phoneticPr fontId="20" type="noConversion"/>
  </si>
  <si>
    <t>LT Growth</t>
    <phoneticPr fontId="20" type="noConversion"/>
  </si>
  <si>
    <t>Year</t>
    <phoneticPr fontId="20" type="noConversion"/>
  </si>
  <si>
    <t>DCF</t>
    <phoneticPr fontId="20" type="noConversion"/>
  </si>
  <si>
    <t>Cash(FY24Q1)</t>
    <phoneticPr fontId="20" type="noConversion"/>
  </si>
  <si>
    <t>FY24Q1</t>
    <phoneticPr fontId="0" type="noConversion"/>
  </si>
  <si>
    <t>Debt(FY24Q1)</t>
    <phoneticPr fontId="20" type="noConversion"/>
  </si>
  <si>
    <t>Equity</t>
    <phoneticPr fontId="20" type="noConversion"/>
  </si>
  <si>
    <t>Shares Outstanding</t>
    <phoneticPr fontId="20" type="noConversion"/>
  </si>
  <si>
    <t>Diluted/Common</t>
    <phoneticPr fontId="0" type="noConversion"/>
  </si>
  <si>
    <t>Diluted/Basic</t>
    <phoneticPr fontId="0" type="noConversion"/>
  </si>
  <si>
    <t>Diluted Shares Out.</t>
    <phoneticPr fontId="0" type="noConversion"/>
  </si>
  <si>
    <t>Fair Value</t>
    <phoneticPr fontId="20" type="noConversion"/>
  </si>
  <si>
    <t>FY24Q1</t>
    <phoneticPr fontId="20" type="noConversion"/>
  </si>
  <si>
    <t>FY24Q1 Diluted</t>
    <phoneticPr fontId="20" type="noConversion"/>
  </si>
  <si>
    <t>(Added to WH&amp;A)</t>
    <phoneticPr fontId="20" type="noConversion"/>
  </si>
  <si>
    <t>(Avg Price: take 512GB)</t>
    <phoneticPr fontId="20" type="noConversion"/>
  </si>
  <si>
    <t>(Consensus shipment of appox. 500k in CY2024, with FY2Q24 200k)</t>
    <phoneticPr fontId="20" type="noConversion"/>
  </si>
  <si>
    <t>2Q23</t>
    <phoneticPr fontId="21" type="noConversion"/>
  </si>
  <si>
    <t>3Q23</t>
    <phoneticPr fontId="21" type="noConversion"/>
  </si>
  <si>
    <t>4Q23</t>
    <phoneticPr fontId="21" type="noConversion"/>
  </si>
  <si>
    <t>1Q24</t>
    <phoneticPr fontId="21" type="noConversion"/>
  </si>
  <si>
    <t>more than 1b</t>
    <phoneticPr fontId="20" type="noConversion"/>
  </si>
  <si>
    <t>plus 150 than 2Q</t>
    <phoneticPr fontId="20" type="noConversion"/>
  </si>
  <si>
    <t>rm-rf(risk premium)</t>
    <phoneticPr fontId="20" type="noConversion"/>
  </si>
  <si>
    <t>Service Rev</t>
    <phoneticPr fontId="21" type="noConversion"/>
  </si>
  <si>
    <t>Subscription Base</t>
    <phoneticPr fontId="21" type="noConversion"/>
  </si>
  <si>
    <t>(From Earnings Transcript)</t>
    <phoneticPr fontId="20" type="noConversion"/>
  </si>
  <si>
    <t>Proportion</t>
    <phoneticPr fontId="21" type="noConversion"/>
  </si>
  <si>
    <t>Enterprise Value (Mar 15 2024)</t>
    <phoneticPr fontId="20" type="noConversion"/>
  </si>
  <si>
    <t>Enterprise Value (Sep 30 2023)</t>
    <phoneticPr fontId="20" type="noConversion"/>
  </si>
  <si>
    <t>WACC</t>
  </si>
  <si>
    <t>LT Growth</t>
  </si>
  <si>
    <t>Sensitivity Analysis</t>
    <phoneticPr fontId="20" type="noConversion"/>
  </si>
  <si>
    <t>Company Comparable Analysis &gt;  My Apple Inc. Quick Comp (IQ1200533739) &gt; Trading Multiples</t>
  </si>
  <si>
    <t>Details</t>
  </si>
  <si>
    <t>Capital IQ Default Comps</t>
  </si>
  <si>
    <t>US Dollar</t>
  </si>
  <si>
    <t>As-Of Date:</t>
  </si>
  <si>
    <t>Company Comp Set</t>
  </si>
  <si>
    <t>Company Name</t>
  </si>
  <si>
    <t>TEV/Total Revenues LTM - Latest</t>
  </si>
  <si>
    <t>TEV/EBITDA LTM - Latest</t>
  </si>
  <si>
    <t>TEV/EBIT LTM - Latest</t>
  </si>
  <si>
    <t>P/Diluted EPS Before Extra LTM - Latest</t>
  </si>
  <si>
    <t>P/TangBV LTM - Latest</t>
  </si>
  <si>
    <t xml:space="preserve">NTM TEV/Forward Total Revenue (Capital IQ) </t>
  </si>
  <si>
    <t xml:space="preserve">NTM TEV/Forward EBITDA (Capital IQ) </t>
  </si>
  <si>
    <t xml:space="preserve">NTM Forward P/E (Capital IQ) </t>
  </si>
  <si>
    <t>Alphabet Inc. (NasdaqGS:GOOGL)</t>
  </si>
  <si>
    <t>NetApp, Inc. (NasdaqGS:NTAP)</t>
  </si>
  <si>
    <t>NM</t>
  </si>
  <si>
    <t>QUALCOMM Incorporated (NasdaqGS:QCOM)</t>
  </si>
  <si>
    <t>Samsung Electronics Co., Ltd. (KOSE:A005930)</t>
  </si>
  <si>
    <t>HP Inc. (NYSE:HPQ)</t>
  </si>
  <si>
    <t>Dell Technologies Inc. (NYSE:DELL)</t>
  </si>
  <si>
    <t>Hewlett Packard Enterprise Company (NYSE:HPE)</t>
  </si>
  <si>
    <t>Microsoft Corporation (NasdaqGS:MSFT)</t>
  </si>
  <si>
    <t>Summary Statistics</t>
  </si>
  <si>
    <t>High</t>
  </si>
  <si>
    <t>Low</t>
  </si>
  <si>
    <t>Mean</t>
  </si>
  <si>
    <t>Median</t>
  </si>
  <si>
    <t>Excel Comp Set ID: IQ1200533739</t>
  </si>
  <si>
    <t>Values converted at today's spot rate.</t>
  </si>
  <si>
    <t>Historical Equity Pricing Data supplied by Interactive Data Pricing and Reference Data LLC</t>
  </si>
  <si>
    <t>PE Stock Price</t>
    <phoneticPr fontId="20" type="noConversion"/>
  </si>
  <si>
    <t>Last Year's Return</t>
    <phoneticPr fontId="0" type="noConversion"/>
  </si>
  <si>
    <t>Asj. Closing</t>
    <phoneticPr fontId="0" type="noConversion"/>
  </si>
  <si>
    <t>Return</t>
    <phoneticPr fontId="0" type="noConversion"/>
  </si>
  <si>
    <t>CIQ Consensus NTM EPS</t>
    <phoneticPr fontId="20" type="noConversion"/>
  </si>
  <si>
    <t>Peers Trailing PE</t>
    <phoneticPr fontId="20" type="noConversion"/>
  </si>
  <si>
    <t>Price by PE</t>
    <phoneticPr fontId="20" type="noConversion"/>
  </si>
  <si>
    <t>Advanced Micro Devices, Inc. (NasdaqGS:AMD)</t>
  </si>
  <si>
    <t>Intel Corporation (NasdaqGS:INTC)</t>
  </si>
  <si>
    <t>NVIDIA Corporation (NasdaqGS:NVDA)</t>
  </si>
  <si>
    <t>Displaying 11 Companies.</t>
  </si>
  <si>
    <t>Since the market usually uses PE to evaluate stock price, we chose Mean NTM PE of these companies: 23.19, with Consensus NTM EPS of 6.68</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</si>
</sst>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43" formatCode="_(* #,##0.00_);_(* \(#,##0.00\);_(* &quot;-&quot;??_);_(@_)"/>
    <numFmt numFmtId="176" formatCode="_(* #,##0.0_);_(* \(#,##0.0\)_)\ ;_(* 0_)"/>
    <numFmt numFmtId="177" formatCode="_(#,##0.0%_);_(\(#,##0.0%\)_);_(#,##0.0%_)"/>
    <numFmt numFmtId="178" formatCode="_(* #,##0.0#_);_(* \(#,##0.0#\)_)\ ;_(* 0_)"/>
    <numFmt numFmtId="179" formatCode="_(#,##0.00%_);_(\(#,##0.00%\)_);_(#,##0.00%_)"/>
    <numFmt numFmtId="180" formatCode="_(&quot;$&quot;#,##0.0#_);_(\(&quot;$&quot;#,##0.0#\)_);_(&quot;$&quot;&quot; - &quot;_)"/>
    <numFmt numFmtId="181" formatCode="#,##0.0\x"/>
    <numFmt numFmtId="182" formatCode="#,##0.00\x"/>
    <numFmt numFmtId="183" formatCode="_(* #,##0.0##_);_(* \(#,##0.0##\)_)\ ;_(* 0_)"/>
    <numFmt numFmtId="184" formatCode="mmm\-dd\-yyyy"/>
    <numFmt numFmtId="185" formatCode="_(* #,##0_);_(* \(#,##0\)_)\ ;_(* 0_)"/>
    <numFmt numFmtId="186" formatCode="0.000"/>
    <numFmt numFmtId="187" formatCode="_(* #,##0_);_(* \(#,##0\);_(* &quot;-&quot;??_);_(@_)"/>
    <numFmt numFmtId="188" formatCode="_(* #,##0.0_);_(* \(#,##0.0\);_(* &quot;-&quot;?_);_(@_)"/>
    <numFmt numFmtId="189" formatCode="0.0%"/>
  </numFmts>
  <fonts count="40">
    <font>
      <sz val="10"/>
      <name val="Arial"/>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charset val="2"/>
    </font>
    <font>
      <sz val="10"/>
      <color indexed="8"/>
      <name val="Arial"/>
      <family val="2"/>
    </font>
    <font>
      <b/>
      <sz val="8"/>
      <color indexed="8"/>
      <name val="Verdana"/>
      <family val="2"/>
    </font>
    <font>
      <i/>
      <sz val="8"/>
      <name val="Arial"/>
      <family val="2"/>
    </font>
    <font>
      <b/>
      <sz val="8"/>
      <name val="Arial"/>
      <family val="2"/>
    </font>
    <font>
      <b/>
      <i/>
      <sz val="8"/>
      <color indexed="8"/>
      <name val="Arial"/>
      <family val="2"/>
    </font>
    <font>
      <sz val="10"/>
      <name val="Arial"/>
      <family val="2"/>
    </font>
    <font>
      <sz val="9"/>
      <name val="DFKai-SB"/>
      <family val="4"/>
      <charset val="136"/>
    </font>
    <font>
      <sz val="9"/>
      <name val="新細明體"/>
      <family val="2"/>
      <charset val="136"/>
      <scheme val="minor"/>
    </font>
    <font>
      <sz val="12"/>
      <name val="Times New Roman"/>
      <family val="1"/>
    </font>
    <font>
      <sz val="12"/>
      <color theme="1"/>
      <name val="Times New Roman"/>
      <family val="1"/>
    </font>
    <font>
      <sz val="12"/>
      <color rgb="FF232A31"/>
      <name val="Times New Roman"/>
      <family val="1"/>
    </font>
    <font>
      <b/>
      <sz val="12"/>
      <name val="Times New Roman"/>
      <family val="1"/>
    </font>
    <font>
      <sz val="12"/>
      <color rgb="FF0070C0"/>
      <name val="Times New Roman"/>
      <family val="1"/>
    </font>
    <font>
      <b/>
      <sz val="12"/>
      <color theme="1"/>
      <name val="Times New Roman"/>
      <family val="1"/>
    </font>
    <font>
      <sz val="12"/>
      <color theme="4"/>
      <name val="Times New Roman"/>
      <family val="1"/>
    </font>
    <font>
      <b/>
      <sz val="12"/>
      <color indexed="8"/>
      <name val="Times New Roman"/>
      <family val="1"/>
    </font>
    <font>
      <i/>
      <sz val="12"/>
      <name val="Times New Roman"/>
      <family val="1"/>
    </font>
    <font>
      <sz val="12"/>
      <color indexed="8"/>
      <name val="Times New Roman"/>
      <family val="1"/>
    </font>
    <font>
      <b/>
      <sz val="12"/>
      <color indexed="9"/>
      <name val="Times New Roman"/>
      <family val="1"/>
    </font>
    <font>
      <sz val="12"/>
      <color indexed="9"/>
      <name val="Times New Roman"/>
      <family val="1"/>
    </font>
    <font>
      <b/>
      <i/>
      <sz val="12"/>
      <color indexed="8"/>
      <name val="Times New Roman"/>
      <family val="1"/>
    </font>
    <font>
      <i/>
      <sz val="12"/>
      <color indexed="8"/>
      <name val="Times New Roman"/>
      <family val="1"/>
    </font>
    <font>
      <b/>
      <u val="double"/>
      <sz val="12"/>
      <color indexed="8"/>
      <name val="Times New Roman"/>
      <family val="1"/>
    </font>
    <font>
      <b/>
      <u/>
      <sz val="12"/>
      <color indexed="8"/>
      <name val="Times New Roman"/>
      <family val="1"/>
    </font>
    <font>
      <sz val="12"/>
      <color rgb="FFFF0000"/>
      <name val="Times New Roman"/>
      <family val="1"/>
    </font>
    <font>
      <sz val="12"/>
      <color theme="4" tint="0.59999389629810485"/>
      <name val="Times New Roman"/>
      <family val="1"/>
    </font>
  </fonts>
  <fills count="13">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s>
  <borders count="18">
    <border>
      <left/>
      <right/>
      <top/>
      <bottom/>
      <diagonal/>
    </border>
    <border>
      <left/>
      <right/>
      <top style="thin">
        <color indexed="8"/>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8">
    <xf numFmtId="0" fontId="0" fillId="0" borderId="0"/>
    <xf numFmtId="0" fontId="2" fillId="0" borderId="0" applyAlignment="0"/>
    <xf numFmtId="0" fontId="3" fillId="0" borderId="0" applyAlignment="0"/>
    <xf numFmtId="0" fontId="4" fillId="2" borderId="0" applyAlignment="0"/>
    <xf numFmtId="0" fontId="5" fillId="3" borderId="0" applyAlignment="0"/>
    <xf numFmtId="0" fontId="6" fillId="4" borderId="0" applyAlignment="0"/>
    <xf numFmtId="0" fontId="7" fillId="5" borderId="0" applyAlignment="0"/>
    <xf numFmtId="0" fontId="8" fillId="0" borderId="0" applyAlignment="0"/>
    <xf numFmtId="0" fontId="9" fillId="0" borderId="0" applyAlignment="0"/>
    <xf numFmtId="0" fontId="10" fillId="0" borderId="0" applyAlignment="0"/>
    <xf numFmtId="0" fontId="11" fillId="0" borderId="0" applyAlignment="0"/>
    <xf numFmtId="0" fontId="12" fillId="0" borderId="0" applyAlignment="0"/>
    <xf numFmtId="0" fontId="11" fillId="0" borderId="0" applyAlignment="0">
      <alignment wrapText="1"/>
    </xf>
    <xf numFmtId="0" fontId="13" fillId="0" borderId="0" applyAlignment="0"/>
    <xf numFmtId="0" fontId="14" fillId="0" borderId="0" applyAlignment="0"/>
    <xf numFmtId="0" fontId="15" fillId="0" borderId="0" applyAlignment="0"/>
    <xf numFmtId="43" fontId="19" fillId="0" borderId="0" applyFont="0" applyFill="0" applyBorder="0" applyAlignment="0" applyProtection="0">
      <alignment vertical="center"/>
    </xf>
    <xf numFmtId="9" fontId="19" fillId="0" borderId="0" applyFont="0" applyFill="0" applyBorder="0" applyAlignment="0" applyProtection="0">
      <alignment vertical="center"/>
    </xf>
  </cellStyleXfs>
  <cellXfs count="182">
    <xf numFmtId="0" fontId="1" fillId="0" borderId="0" xfId="0" applyFont="1"/>
    <xf numFmtId="0" fontId="2" fillId="0" borderId="0" xfId="0" applyFont="1"/>
    <xf numFmtId="0" fontId="16" fillId="0" borderId="0" xfId="0" applyFont="1" applyAlignment="1">
      <alignment wrapText="1"/>
    </xf>
    <xf numFmtId="0" fontId="17" fillId="0" borderId="0" xfId="0" applyFont="1"/>
    <xf numFmtId="0" fontId="8" fillId="0" borderId="0" xfId="0" applyFont="1" applyAlignment="1">
      <alignment horizontal="left" vertical="top"/>
    </xf>
    <xf numFmtId="49" fontId="1" fillId="0" borderId="0" xfId="0" applyNumberFormat="1" applyFont="1"/>
    <xf numFmtId="0" fontId="6" fillId="4" borderId="0" xfId="0" applyFont="1" applyFill="1"/>
    <xf numFmtId="0" fontId="11" fillId="5" borderId="0" xfId="0" applyFont="1" applyFill="1" applyAlignment="1">
      <alignment wrapText="1"/>
    </xf>
    <xf numFmtId="0" fontId="18" fillId="5" borderId="0" xfId="0" applyFont="1" applyFill="1" applyAlignment="1">
      <alignment wrapText="1"/>
    </xf>
    <xf numFmtId="0" fontId="11" fillId="0" borderId="0" xfId="0" applyFont="1" applyAlignment="1">
      <alignment horizontal="left" vertical="top"/>
    </xf>
    <xf numFmtId="0" fontId="12" fillId="0" borderId="0" xfId="0" applyFont="1" applyAlignment="1">
      <alignment horizontal="left" vertical="top"/>
    </xf>
    <xf numFmtId="0" fontId="1" fillId="0" borderId="0" xfId="0" applyFont="1" applyAlignment="1">
      <alignment vertical="top" wrapText="1"/>
    </xf>
    <xf numFmtId="0" fontId="11" fillId="5" borderId="0" xfId="0" applyFont="1" applyFill="1" applyAlignment="1">
      <alignment horizontal="right" wrapText="1"/>
    </xf>
    <xf numFmtId="0" fontId="18" fillId="5" borderId="0" xfId="0" applyFont="1" applyFill="1" applyAlignment="1">
      <alignment horizontal="right" wrapText="1"/>
    </xf>
    <xf numFmtId="176" fontId="11" fillId="0" borderId="0" xfId="0" applyNumberFormat="1" applyFont="1" applyAlignment="1">
      <alignment horizontal="right" vertical="top" wrapText="1"/>
    </xf>
    <xf numFmtId="177" fontId="12" fillId="0" borderId="0" xfId="0" applyNumberFormat="1" applyFont="1" applyAlignment="1">
      <alignment horizontal="right" vertical="top" wrapText="1"/>
    </xf>
    <xf numFmtId="178" fontId="11" fillId="0" borderId="0" xfId="0" applyNumberFormat="1" applyFont="1" applyAlignment="1">
      <alignment horizontal="right" vertical="top" wrapText="1"/>
    </xf>
    <xf numFmtId="49" fontId="8" fillId="0" borderId="0" xfId="0" applyNumberFormat="1" applyFont="1" applyAlignment="1">
      <alignment horizontal="right" vertical="top" wrapText="1"/>
    </xf>
    <xf numFmtId="176" fontId="8" fillId="0" borderId="0" xfId="0" applyNumberFormat="1" applyFont="1" applyAlignment="1">
      <alignment horizontal="right" vertical="top" wrapText="1"/>
    </xf>
    <xf numFmtId="179" fontId="12" fillId="0" borderId="0" xfId="0" applyNumberFormat="1" applyFont="1" applyAlignment="1">
      <alignment horizontal="right" vertical="top" wrapText="1"/>
    </xf>
    <xf numFmtId="49" fontId="12" fillId="0" borderId="0" xfId="0" applyNumberFormat="1" applyFont="1" applyAlignment="1">
      <alignment horizontal="right" vertical="top" wrapText="1"/>
    </xf>
    <xf numFmtId="180" fontId="8" fillId="0" borderId="0" xfId="0" applyNumberFormat="1" applyFont="1" applyAlignment="1">
      <alignment horizontal="right" vertical="top" wrapText="1"/>
    </xf>
    <xf numFmtId="0" fontId="1" fillId="0" borderId="0" xfId="0" applyFont="1" applyAlignment="1">
      <alignment horizontal="center" vertical="top" wrapText="1"/>
    </xf>
    <xf numFmtId="181" fontId="8" fillId="0" borderId="0" xfId="0" applyNumberFormat="1" applyFont="1" applyAlignment="1">
      <alignment horizontal="right" vertical="top" wrapText="1"/>
    </xf>
    <xf numFmtId="182" fontId="8" fillId="0" borderId="0" xfId="0" applyNumberFormat="1" applyFont="1" applyAlignment="1">
      <alignment horizontal="right" vertical="top" wrapText="1"/>
    </xf>
    <xf numFmtId="0" fontId="8" fillId="0" borderId="0" xfId="0" applyFont="1" applyAlignment="1">
      <alignment horizontal="center" vertical="center"/>
    </xf>
    <xf numFmtId="184" fontId="8" fillId="0" borderId="0" xfId="0" applyNumberFormat="1" applyFont="1" applyAlignment="1">
      <alignment horizontal="right" vertical="top" wrapText="1"/>
    </xf>
    <xf numFmtId="0" fontId="13" fillId="0" borderId="0" xfId="13" applyAlignment="1"/>
    <xf numFmtId="0" fontId="22" fillId="0" borderId="0" xfId="0" applyFont="1" applyAlignment="1">
      <alignment vertical="center"/>
    </xf>
    <xf numFmtId="0" fontId="22" fillId="0" borderId="0" xfId="0" applyFont="1"/>
    <xf numFmtId="14" fontId="22" fillId="0" borderId="0" xfId="0" applyNumberFormat="1" applyFont="1" applyAlignment="1">
      <alignment vertical="center"/>
    </xf>
    <xf numFmtId="0" fontId="23" fillId="0" borderId="0" xfId="0" applyFont="1"/>
    <xf numFmtId="0" fontId="24" fillId="0" borderId="0" xfId="0" applyFont="1"/>
    <xf numFmtId="10" fontId="23" fillId="0" borderId="0" xfId="17" applyNumberFormat="1" applyFont="1" applyAlignment="1"/>
    <xf numFmtId="10" fontId="22" fillId="0" borderId="0" xfId="17" applyNumberFormat="1" applyFont="1" applyAlignment="1"/>
    <xf numFmtId="10" fontId="22" fillId="0" borderId="0" xfId="0" applyNumberFormat="1" applyFont="1"/>
    <xf numFmtId="0" fontId="25" fillId="0" borderId="0" xfId="0" applyFont="1"/>
    <xf numFmtId="0" fontId="23" fillId="0" borderId="0" xfId="0" applyFont="1" applyAlignment="1">
      <alignment vertical="center"/>
    </xf>
    <xf numFmtId="0" fontId="23" fillId="0" borderId="2" xfId="0" applyFont="1" applyBorder="1" applyAlignment="1">
      <alignment vertical="center"/>
    </xf>
    <xf numFmtId="0" fontId="27" fillId="0" borderId="0" xfId="0" applyFont="1" applyAlignment="1">
      <alignment vertical="center"/>
    </xf>
    <xf numFmtId="187" fontId="23" fillId="0" borderId="0" xfId="16" applyNumberFormat="1" applyFont="1">
      <alignment vertical="center"/>
    </xf>
    <xf numFmtId="187" fontId="23" fillId="0" borderId="2" xfId="16" applyNumberFormat="1" applyFont="1" applyBorder="1">
      <alignment vertical="center"/>
    </xf>
    <xf numFmtId="187" fontId="23" fillId="0" borderId="0" xfId="16" applyNumberFormat="1" applyFont="1" applyFill="1">
      <alignment vertical="center"/>
    </xf>
    <xf numFmtId="0" fontId="28" fillId="0" borderId="0" xfId="0" applyFont="1" applyAlignment="1">
      <alignment vertical="center"/>
    </xf>
    <xf numFmtId="187" fontId="28" fillId="0" borderId="0" xfId="16" applyNumberFormat="1" applyFont="1">
      <alignment vertical="center"/>
    </xf>
    <xf numFmtId="10" fontId="28" fillId="0" borderId="0" xfId="17" applyNumberFormat="1" applyFont="1">
      <alignment vertical="center"/>
    </xf>
    <xf numFmtId="10" fontId="28" fillId="0" borderId="2" xfId="17" applyNumberFormat="1" applyFont="1" applyBorder="1">
      <alignment vertical="center"/>
    </xf>
    <xf numFmtId="10" fontId="28" fillId="0" borderId="0" xfId="17" applyNumberFormat="1" applyFont="1" applyFill="1">
      <alignment vertical="center"/>
    </xf>
    <xf numFmtId="10" fontId="23" fillId="0" borderId="0" xfId="17" applyNumberFormat="1" applyFont="1">
      <alignment vertical="center"/>
    </xf>
    <xf numFmtId="10" fontId="23" fillId="0" borderId="2" xfId="17" applyNumberFormat="1" applyFont="1" applyBorder="1">
      <alignment vertical="center"/>
    </xf>
    <xf numFmtId="10" fontId="23" fillId="0" borderId="0" xfId="17" applyNumberFormat="1" applyFont="1" applyFill="1">
      <alignment vertical="center"/>
    </xf>
    <xf numFmtId="0" fontId="26" fillId="0" borderId="0" xfId="0" applyFont="1" applyAlignment="1">
      <alignment vertical="center"/>
    </xf>
    <xf numFmtId="187" fontId="26" fillId="0" borderId="0" xfId="16" applyNumberFormat="1" applyFont="1">
      <alignment vertical="center"/>
    </xf>
    <xf numFmtId="0" fontId="25" fillId="0" borderId="0" xfId="0" applyFont="1" applyAlignment="1">
      <alignment vertical="center"/>
    </xf>
    <xf numFmtId="187" fontId="27" fillId="0" borderId="0" xfId="16" applyNumberFormat="1" applyFont="1">
      <alignment vertical="center"/>
    </xf>
    <xf numFmtId="187" fontId="27" fillId="0" borderId="2" xfId="16" applyNumberFormat="1" applyFont="1" applyBorder="1">
      <alignment vertical="center"/>
    </xf>
    <xf numFmtId="187" fontId="27" fillId="0" borderId="0" xfId="16" applyNumberFormat="1" applyFont="1" applyFill="1">
      <alignment vertical="center"/>
    </xf>
    <xf numFmtId="0" fontId="23" fillId="0" borderId="0" xfId="16" applyNumberFormat="1" applyFont="1">
      <alignment vertical="center"/>
    </xf>
    <xf numFmtId="187" fontId="22" fillId="0" borderId="0" xfId="16" applyNumberFormat="1" applyFont="1">
      <alignment vertical="center"/>
    </xf>
    <xf numFmtId="187" fontId="25" fillId="0" borderId="0" xfId="16" applyNumberFormat="1" applyFont="1">
      <alignment vertical="center"/>
    </xf>
    <xf numFmtId="0" fontId="29" fillId="0" borderId="0" xfId="0" applyFont="1"/>
    <xf numFmtId="0" fontId="30" fillId="0" borderId="0" xfId="0" applyFont="1" applyAlignment="1">
      <alignment wrapText="1"/>
    </xf>
    <xf numFmtId="0" fontId="31" fillId="0" borderId="0" xfId="0" applyFont="1" applyAlignment="1">
      <alignment horizontal="left" vertical="top"/>
    </xf>
    <xf numFmtId="49" fontId="22" fillId="0" borderId="0" xfId="0" applyNumberFormat="1" applyFont="1"/>
    <xf numFmtId="0" fontId="31" fillId="0" borderId="0" xfId="0" applyFont="1" applyAlignment="1">
      <alignment horizontal="left" vertical="center"/>
    </xf>
    <xf numFmtId="0" fontId="32" fillId="4" borderId="0" xfId="0" applyFont="1" applyFill="1"/>
    <xf numFmtId="0" fontId="33" fillId="0" borderId="0" xfId="13" applyFont="1" applyAlignment="1"/>
    <xf numFmtId="0" fontId="29" fillId="5" borderId="0" xfId="0" applyFont="1" applyFill="1" applyAlignment="1">
      <alignment wrapText="1"/>
    </xf>
    <xf numFmtId="0" fontId="29" fillId="5" borderId="0" xfId="0" applyFont="1" applyFill="1" applyAlignment="1">
      <alignment horizontal="right" wrapText="1"/>
    </xf>
    <xf numFmtId="0" fontId="34" fillId="5" borderId="0" xfId="0" applyFont="1" applyFill="1" applyAlignment="1">
      <alignment wrapText="1"/>
    </xf>
    <xf numFmtId="0" fontId="34" fillId="5" borderId="0" xfId="0" applyFont="1" applyFill="1" applyAlignment="1">
      <alignment horizontal="right" wrapText="1"/>
    </xf>
    <xf numFmtId="0" fontId="29" fillId="0" borderId="0" xfId="0" applyFont="1" applyAlignment="1">
      <alignment horizontal="left" vertical="top"/>
    </xf>
    <xf numFmtId="176" fontId="31" fillId="0" borderId="0" xfId="0" applyNumberFormat="1" applyFont="1" applyAlignment="1">
      <alignment horizontal="right" vertical="top" wrapText="1"/>
    </xf>
    <xf numFmtId="0" fontId="35" fillId="0" borderId="0" xfId="0" applyFont="1" applyAlignment="1">
      <alignment horizontal="left" vertical="top"/>
    </xf>
    <xf numFmtId="176" fontId="35" fillId="0" borderId="0" xfId="0" applyNumberFormat="1" applyFont="1" applyAlignment="1">
      <alignment horizontal="right" vertical="top" wrapText="1"/>
    </xf>
    <xf numFmtId="176" fontId="29" fillId="0" borderId="1" xfId="0" applyNumberFormat="1" applyFont="1" applyBorder="1" applyAlignment="1">
      <alignment horizontal="right" vertical="top" wrapText="1"/>
    </xf>
    <xf numFmtId="176" fontId="29" fillId="0" borderId="0" xfId="0" applyNumberFormat="1" applyFont="1" applyAlignment="1">
      <alignment horizontal="right" vertical="top" wrapText="1"/>
    </xf>
    <xf numFmtId="176" fontId="36" fillId="0" borderId="1" xfId="0" applyNumberFormat="1" applyFont="1" applyBorder="1" applyAlignment="1">
      <alignment horizontal="right" vertical="top" wrapText="1"/>
    </xf>
    <xf numFmtId="180" fontId="31" fillId="0" borderId="0" xfId="0" applyNumberFormat="1" applyFont="1" applyAlignment="1">
      <alignment horizontal="right" vertical="top" wrapText="1"/>
    </xf>
    <xf numFmtId="178" fontId="31" fillId="0" borderId="0" xfId="0" applyNumberFormat="1" applyFont="1" applyAlignment="1">
      <alignment horizontal="right" vertical="top" wrapText="1"/>
    </xf>
    <xf numFmtId="177" fontId="31" fillId="0" borderId="0" xfId="0" applyNumberFormat="1" applyFont="1" applyAlignment="1">
      <alignment horizontal="right" vertical="top" wrapText="1"/>
    </xf>
    <xf numFmtId="183" fontId="31" fillId="0" borderId="0" xfId="0" applyNumberFormat="1" applyFont="1" applyAlignment="1">
      <alignment horizontal="right" vertical="top" wrapText="1"/>
    </xf>
    <xf numFmtId="184" fontId="31" fillId="0" borderId="0" xfId="0" applyNumberFormat="1" applyFont="1" applyAlignment="1">
      <alignment horizontal="right" vertical="top" wrapText="1"/>
    </xf>
    <xf numFmtId="49" fontId="31" fillId="0" borderId="0" xfId="0" applyNumberFormat="1" applyFont="1" applyAlignment="1">
      <alignment horizontal="right" vertical="top" wrapText="1"/>
    </xf>
    <xf numFmtId="0" fontId="22" fillId="0" borderId="0" xfId="0" applyFont="1" applyAlignment="1">
      <alignment vertical="top"/>
    </xf>
    <xf numFmtId="0" fontId="22" fillId="0" borderId="0" xfId="0" applyFont="1" applyAlignment="1">
      <alignment vertical="top" wrapText="1"/>
    </xf>
    <xf numFmtId="0" fontId="31" fillId="0" borderId="0" xfId="0" applyFont="1" applyAlignment="1">
      <alignment horizontal="center" vertical="center"/>
    </xf>
    <xf numFmtId="184" fontId="29" fillId="5" borderId="0" xfId="0" applyNumberFormat="1" applyFont="1" applyFill="1" applyAlignment="1">
      <alignment horizontal="right" wrapText="1"/>
    </xf>
    <xf numFmtId="176" fontId="37" fillId="0" borderId="0" xfId="0" applyNumberFormat="1" applyFont="1" applyAlignment="1">
      <alignment horizontal="right" vertical="top" wrapText="1"/>
    </xf>
    <xf numFmtId="176" fontId="36" fillId="0" borderId="0" xfId="0" applyNumberFormat="1" applyFont="1" applyAlignment="1">
      <alignment horizontal="right" vertical="top" wrapText="1"/>
    </xf>
    <xf numFmtId="185" fontId="31" fillId="0" borderId="0" xfId="0" applyNumberFormat="1" applyFont="1" applyAlignment="1">
      <alignment horizontal="right" vertical="top" wrapText="1"/>
    </xf>
    <xf numFmtId="0" fontId="31" fillId="0" borderId="0" xfId="0" applyFont="1" applyAlignment="1">
      <alignment horizontal="center" vertical="center" wrapText="1"/>
    </xf>
    <xf numFmtId="10" fontId="22" fillId="6" borderId="0" xfId="0" applyNumberFormat="1" applyFont="1" applyFill="1"/>
    <xf numFmtId="14" fontId="22" fillId="6" borderId="0" xfId="0" applyNumberFormat="1" applyFont="1" applyFill="1"/>
    <xf numFmtId="9" fontId="22" fillId="0" borderId="0" xfId="0" applyNumberFormat="1" applyFont="1"/>
    <xf numFmtId="2" fontId="22" fillId="0" borderId="0" xfId="0" applyNumberFormat="1" applyFont="1"/>
    <xf numFmtId="0" fontId="31" fillId="7" borderId="0" xfId="0" applyFont="1" applyFill="1" applyAlignment="1">
      <alignment horizontal="left" vertical="top"/>
    </xf>
    <xf numFmtId="176" fontId="31" fillId="7" borderId="0" xfId="0" applyNumberFormat="1" applyFont="1" applyFill="1" applyAlignment="1">
      <alignment horizontal="right" vertical="top" wrapText="1"/>
    </xf>
    <xf numFmtId="0" fontId="29" fillId="7" borderId="0" xfId="0" applyFont="1" applyFill="1" applyAlignment="1">
      <alignment horizontal="left" vertical="top"/>
    </xf>
    <xf numFmtId="176" fontId="29" fillId="7" borderId="1" xfId="0" applyNumberFormat="1" applyFont="1" applyFill="1" applyBorder="1" applyAlignment="1">
      <alignment horizontal="right" vertical="top" wrapText="1"/>
    </xf>
    <xf numFmtId="0" fontId="22" fillId="0" borderId="3" xfId="0" applyFont="1" applyBorder="1"/>
    <xf numFmtId="0" fontId="22" fillId="0" borderId="4" xfId="0" applyFont="1" applyBorder="1"/>
    <xf numFmtId="0" fontId="22" fillId="0" borderId="5" xfId="0" applyFont="1" applyBorder="1"/>
    <xf numFmtId="176" fontId="22" fillId="0" borderId="2" xfId="0" applyNumberFormat="1" applyFont="1" applyBorder="1"/>
    <xf numFmtId="0" fontId="22" fillId="7" borderId="6" xfId="0" applyFont="1" applyFill="1" applyBorder="1"/>
    <xf numFmtId="187" fontId="22" fillId="0" borderId="0" xfId="16" applyNumberFormat="1" applyFont="1" applyAlignment="1"/>
    <xf numFmtId="0" fontId="31" fillId="8" borderId="0" xfId="0" applyFont="1" applyFill="1" applyAlignment="1">
      <alignment horizontal="left" vertical="top"/>
    </xf>
    <xf numFmtId="10" fontId="31" fillId="8" borderId="0" xfId="17" applyNumberFormat="1" applyFont="1" applyFill="1" applyBorder="1" applyAlignment="1">
      <alignment horizontal="right" vertical="top" wrapText="1"/>
    </xf>
    <xf numFmtId="176" fontId="31" fillId="0" borderId="2" xfId="0" applyNumberFormat="1" applyFont="1" applyBorder="1" applyAlignment="1">
      <alignment horizontal="right" vertical="top" wrapText="1"/>
    </xf>
    <xf numFmtId="176" fontId="35" fillId="0" borderId="2" xfId="0" applyNumberFormat="1" applyFont="1" applyBorder="1" applyAlignment="1">
      <alignment horizontal="right" vertical="top" wrapText="1"/>
    </xf>
    <xf numFmtId="176" fontId="29" fillId="0" borderId="8" xfId="0" applyNumberFormat="1" applyFont="1" applyBorder="1" applyAlignment="1">
      <alignment horizontal="right" vertical="top" wrapText="1"/>
    </xf>
    <xf numFmtId="10" fontId="31" fillId="8" borderId="2" xfId="17" applyNumberFormat="1" applyFont="1" applyFill="1" applyBorder="1" applyAlignment="1">
      <alignment horizontal="right" vertical="top" wrapText="1"/>
    </xf>
    <xf numFmtId="10" fontId="38" fillId="0" borderId="0" xfId="0" applyNumberFormat="1" applyFont="1"/>
    <xf numFmtId="186" fontId="38" fillId="0" borderId="0" xfId="0" applyNumberFormat="1" applyFont="1"/>
    <xf numFmtId="10" fontId="38" fillId="0" borderId="0" xfId="17" applyNumberFormat="1" applyFont="1" applyAlignment="1"/>
    <xf numFmtId="43" fontId="22" fillId="0" borderId="0" xfId="0" applyNumberFormat="1" applyFont="1"/>
    <xf numFmtId="0" fontId="31" fillId="9" borderId="0" xfId="0" applyFont="1" applyFill="1" applyAlignment="1">
      <alignment horizontal="left" vertical="top"/>
    </xf>
    <xf numFmtId="10" fontId="31" fillId="9" borderId="0" xfId="17" applyNumberFormat="1" applyFont="1" applyFill="1" applyBorder="1" applyAlignment="1">
      <alignment horizontal="right" vertical="top" wrapText="1"/>
    </xf>
    <xf numFmtId="176" fontId="31" fillId="9" borderId="0" xfId="0" applyNumberFormat="1" applyFont="1" applyFill="1" applyAlignment="1">
      <alignment horizontal="right" vertical="top" wrapText="1"/>
    </xf>
    <xf numFmtId="187" fontId="22" fillId="0" borderId="0" xfId="0" applyNumberFormat="1" applyFont="1"/>
    <xf numFmtId="187" fontId="25" fillId="0" borderId="0" xfId="0" applyNumberFormat="1" applyFont="1"/>
    <xf numFmtId="176" fontId="31" fillId="8" borderId="0" xfId="0" applyNumberFormat="1" applyFont="1" applyFill="1" applyAlignment="1">
      <alignment horizontal="right" vertical="top" wrapText="1"/>
    </xf>
    <xf numFmtId="43" fontId="38" fillId="0" borderId="0" xfId="0" applyNumberFormat="1" applyFont="1"/>
    <xf numFmtId="0" fontId="38" fillId="0" borderId="0" xfId="0" applyFont="1"/>
    <xf numFmtId="2" fontId="38" fillId="0" borderId="0" xfId="0" applyNumberFormat="1" applyFont="1"/>
    <xf numFmtId="187" fontId="22" fillId="6" borderId="0" xfId="16" applyNumberFormat="1" applyFont="1" applyFill="1" applyAlignment="1"/>
    <xf numFmtId="10" fontId="38" fillId="8" borderId="0" xfId="0" applyNumberFormat="1" applyFont="1" applyFill="1"/>
    <xf numFmtId="10" fontId="38" fillId="9" borderId="0" xfId="0" applyNumberFormat="1" applyFont="1" applyFill="1"/>
    <xf numFmtId="188" fontId="38" fillId="7" borderId="7" xfId="0" applyNumberFormat="1" applyFont="1" applyFill="1" applyBorder="1"/>
    <xf numFmtId="0" fontId="29" fillId="8" borderId="0" xfId="0" applyFont="1" applyFill="1" applyAlignment="1">
      <alignment horizontal="left" vertical="top"/>
    </xf>
    <xf numFmtId="176" fontId="29" fillId="8" borderId="1" xfId="0" applyNumberFormat="1" applyFont="1" applyFill="1" applyBorder="1" applyAlignment="1">
      <alignment horizontal="right" vertical="top" wrapText="1"/>
    </xf>
    <xf numFmtId="0" fontId="22" fillId="7" borderId="0" xfId="0" applyFont="1" applyFill="1"/>
    <xf numFmtId="187" fontId="23" fillId="0" borderId="0" xfId="0" applyNumberFormat="1" applyFont="1" applyAlignment="1">
      <alignment vertical="center"/>
    </xf>
    <xf numFmtId="8" fontId="22" fillId="0" borderId="0" xfId="0" applyNumberFormat="1" applyFont="1"/>
    <xf numFmtId="186" fontId="22" fillId="10" borderId="3" xfId="17" applyNumberFormat="1" applyFont="1" applyFill="1" applyBorder="1" applyAlignment="1"/>
    <xf numFmtId="186" fontId="22" fillId="10" borderId="13" xfId="17" applyNumberFormat="1" applyFont="1" applyFill="1" applyBorder="1" applyAlignment="1"/>
    <xf numFmtId="186" fontId="22" fillId="10" borderId="4" xfId="17" applyNumberFormat="1" applyFont="1" applyFill="1" applyBorder="1" applyAlignment="1"/>
    <xf numFmtId="186" fontId="22" fillId="10" borderId="5" xfId="17" applyNumberFormat="1" applyFont="1" applyFill="1" applyBorder="1" applyAlignment="1"/>
    <xf numFmtId="186" fontId="22" fillId="10" borderId="0" xfId="17" applyNumberFormat="1" applyFont="1" applyFill="1" applyBorder="1" applyAlignment="1"/>
    <xf numFmtId="186" fontId="22" fillId="10" borderId="2" xfId="17" applyNumberFormat="1" applyFont="1" applyFill="1" applyBorder="1" applyAlignment="1"/>
    <xf numFmtId="186" fontId="22" fillId="10" borderId="6" xfId="17" applyNumberFormat="1" applyFont="1" applyFill="1" applyBorder="1" applyAlignment="1"/>
    <xf numFmtId="186" fontId="22" fillId="10" borderId="14" xfId="17" applyNumberFormat="1" applyFont="1" applyFill="1" applyBorder="1" applyAlignment="1"/>
    <xf numFmtId="186" fontId="22" fillId="10" borderId="7" xfId="17" applyNumberFormat="1" applyFont="1" applyFill="1" applyBorder="1" applyAlignment="1"/>
    <xf numFmtId="0" fontId="22" fillId="11" borderId="3" xfId="0" applyFont="1" applyFill="1" applyBorder="1"/>
    <xf numFmtId="0" fontId="22" fillId="11" borderId="4" xfId="0" applyFont="1" applyFill="1" applyBorder="1"/>
    <xf numFmtId="0" fontId="22" fillId="11" borderId="6" xfId="0" applyFont="1" applyFill="1" applyBorder="1"/>
    <xf numFmtId="10" fontId="22" fillId="11" borderId="9" xfId="0" applyNumberFormat="1" applyFont="1" applyFill="1" applyBorder="1"/>
    <xf numFmtId="189" fontId="22" fillId="11" borderId="9" xfId="17" applyNumberFormat="1" applyFont="1" applyFill="1" applyBorder="1" applyAlignment="1"/>
    <xf numFmtId="2" fontId="39" fillId="11" borderId="7" xfId="0" applyNumberFormat="1" applyFont="1" applyFill="1" applyBorder="1"/>
    <xf numFmtId="10" fontId="22" fillId="12" borderId="9" xfId="0" applyNumberFormat="1" applyFont="1" applyFill="1" applyBorder="1"/>
    <xf numFmtId="186" fontId="22" fillId="12" borderId="5" xfId="17" applyNumberFormat="1" applyFont="1" applyFill="1" applyBorder="1" applyAlignment="1"/>
    <xf numFmtId="186" fontId="22" fillId="12" borderId="0" xfId="17" applyNumberFormat="1" applyFont="1" applyFill="1" applyBorder="1" applyAlignment="1"/>
    <xf numFmtId="186" fontId="22" fillId="12" borderId="2" xfId="17" applyNumberFormat="1" applyFont="1" applyFill="1" applyBorder="1" applyAlignment="1"/>
    <xf numFmtId="189" fontId="22" fillId="12" borderId="9" xfId="17" applyNumberFormat="1" applyFont="1" applyFill="1" applyBorder="1" applyAlignment="1"/>
    <xf numFmtId="186" fontId="22" fillId="12" borderId="13" xfId="17" applyNumberFormat="1" applyFont="1" applyFill="1" applyBorder="1" applyAlignment="1"/>
    <xf numFmtId="186" fontId="22" fillId="12" borderId="14" xfId="17" applyNumberFormat="1" applyFont="1" applyFill="1" applyBorder="1" applyAlignment="1"/>
    <xf numFmtId="0" fontId="1" fillId="0" borderId="0" xfId="0" applyFont="1" applyAlignment="1">
      <alignment horizontal="left"/>
    </xf>
    <xf numFmtId="184" fontId="1" fillId="0" borderId="0" xfId="0" applyNumberFormat="1" applyFont="1" applyAlignment="1">
      <alignment horizontal="left"/>
    </xf>
    <xf numFmtId="0" fontId="11" fillId="5" borderId="0" xfId="0" applyFont="1" applyFill="1" applyAlignment="1">
      <alignment horizontal="left" vertical="top" wrapText="1"/>
    </xf>
    <xf numFmtId="0" fontId="11" fillId="5" borderId="0" xfId="0" applyFont="1" applyFill="1" applyAlignment="1">
      <alignment horizontal="right" vertical="top" wrapText="1"/>
    </xf>
    <xf numFmtId="0" fontId="8" fillId="0" borderId="0" xfId="0" applyFont="1" applyAlignment="1">
      <alignment horizontal="right" vertical="top" wrapText="1"/>
    </xf>
    <xf numFmtId="0" fontId="11" fillId="0" borderId="0" xfId="0" applyFont="1" applyAlignment="1">
      <alignment vertical="top" wrapText="1"/>
    </xf>
    <xf numFmtId="0" fontId="1" fillId="0" borderId="4" xfId="0" applyFont="1" applyBorder="1"/>
    <xf numFmtId="0" fontId="1" fillId="0" borderId="6" xfId="0" applyFont="1" applyBorder="1"/>
    <xf numFmtId="0" fontId="22" fillId="11" borderId="10" xfId="0" applyFont="1" applyFill="1" applyBorder="1" applyAlignment="1">
      <alignment horizontal="center" vertical="center"/>
    </xf>
    <xf numFmtId="0" fontId="22" fillId="11" borderId="11" xfId="0" applyFont="1" applyFill="1" applyBorder="1" applyAlignment="1">
      <alignment horizontal="center" vertical="center"/>
    </xf>
    <xf numFmtId="0" fontId="22" fillId="11" borderId="12" xfId="0" applyFont="1" applyFill="1" applyBorder="1" applyAlignment="1">
      <alignment horizontal="center" vertical="center"/>
    </xf>
    <xf numFmtId="0" fontId="22" fillId="11" borderId="15" xfId="0" applyFont="1" applyFill="1" applyBorder="1" applyAlignment="1">
      <alignment horizontal="center"/>
    </xf>
    <xf numFmtId="0" fontId="22" fillId="11" borderId="16" xfId="0" applyFont="1" applyFill="1" applyBorder="1" applyAlignment="1">
      <alignment horizontal="center"/>
    </xf>
    <xf numFmtId="0" fontId="22" fillId="11" borderId="17" xfId="0" applyFont="1" applyFill="1" applyBorder="1" applyAlignment="1">
      <alignment horizontal="center"/>
    </xf>
    <xf numFmtId="0" fontId="1" fillId="0" borderId="0" xfId="0" applyFont="1" applyAlignment="1">
      <alignment horizontal="right" wrapText="1"/>
    </xf>
    <xf numFmtId="0" fontId="1" fillId="0" borderId="0" xfId="0" applyFont="1"/>
    <xf numFmtId="0" fontId="1" fillId="0" borderId="3" xfId="0" applyFont="1" applyBorder="1"/>
    <xf numFmtId="0" fontId="1" fillId="0" borderId="13" xfId="0" applyFont="1" applyBorder="1"/>
    <xf numFmtId="14" fontId="1" fillId="0" borderId="0" xfId="0" applyNumberFormat="1" applyFont="1"/>
    <xf numFmtId="10" fontId="1" fillId="0" borderId="0" xfId="17" applyNumberFormat="1" applyFont="1" applyAlignment="1"/>
    <xf numFmtId="0" fontId="1" fillId="0" borderId="5" xfId="0" applyFont="1" applyBorder="1"/>
    <xf numFmtId="0" fontId="1" fillId="0" borderId="0" xfId="0" applyFont="1" applyBorder="1"/>
    <xf numFmtId="0" fontId="1" fillId="0" borderId="2" xfId="0" applyFont="1" applyBorder="1"/>
    <xf numFmtId="0" fontId="1" fillId="0" borderId="14" xfId="0" applyFont="1" applyBorder="1"/>
    <xf numFmtId="182" fontId="1" fillId="0" borderId="14" xfId="0" applyNumberFormat="1" applyFont="1" applyBorder="1"/>
    <xf numFmtId="2" fontId="1" fillId="6" borderId="7" xfId="0" applyNumberFormat="1" applyFont="1" applyFill="1" applyBorder="1"/>
  </cellXfs>
  <cellStyles count="21">
    <cellStyle name="ChartingText" xfId="14" xr:uid="{00000000-0005-0000-0000-000000000000}"/>
    <cellStyle name="CHPAboveAverage" xfId="15" xr:uid="{00000000-0005-0000-0000-000001000000}"/>
    <cellStyle name="CHPBelowAverage" xfId="15" xr:uid="{00000000-0005-0000-0000-000002000000}"/>
    <cellStyle name="CHPBottom" xfId="15" xr:uid="{00000000-0005-0000-0000-000003000000}"/>
    <cellStyle name="CHPTop" xfId="15" xr:uid="{00000000-0005-0000-0000-000004000000}"/>
    <cellStyle name="ColumnHeaderNormal" xfId="6" xr:uid="{00000000-0005-0000-0000-000005000000}"/>
    <cellStyle name="Invisible" xfId="13" xr:uid="{00000000-0005-0000-0000-000006000000}"/>
    <cellStyle name="NewColumnHeaderNormal" xfId="4" xr:uid="{00000000-0005-0000-0000-000007000000}"/>
    <cellStyle name="NewSectionHeaderNormal" xfId="3" xr:uid="{00000000-0005-0000-0000-000008000000}"/>
    <cellStyle name="NewTitleNormal" xfId="2" xr:uid="{00000000-0005-0000-0000-000009000000}"/>
    <cellStyle name="SectionHeaderNormal" xfId="5" xr:uid="{00000000-0005-0000-0000-00000A000000}"/>
    <cellStyle name="SubScript" xfId="9" xr:uid="{00000000-0005-0000-0000-00000B000000}"/>
    <cellStyle name="SuperScript" xfId="8" xr:uid="{00000000-0005-0000-0000-00000C000000}"/>
    <cellStyle name="TextBold" xfId="10" xr:uid="{00000000-0005-0000-0000-00000D000000}"/>
    <cellStyle name="TextItalic" xfId="11" xr:uid="{00000000-0005-0000-0000-00000E000000}"/>
    <cellStyle name="TextNormal" xfId="7" xr:uid="{00000000-0005-0000-0000-00000F000000}"/>
    <cellStyle name="TitleNormal" xfId="1" xr:uid="{00000000-0005-0000-0000-000010000000}"/>
    <cellStyle name="Total" xfId="12" xr:uid="{00000000-0005-0000-0000-000011000000}"/>
    <cellStyle name="一般" xfId="0" builtinId="0"/>
    <cellStyle name="千分位" xfId="16" builtinId="3"/>
    <cellStyle name="百分比" xfId="17" builtinId="5"/>
  </cellStyles>
  <dxfs count="12">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026" name="Picture 2">
          <a:extLst>
            <a:ext uri="{FF2B5EF4-FFF2-40B4-BE49-F238E27FC236}">
              <a16:creationId xmlns:a16="http://schemas.microsoft.com/office/drawing/2014/main" id="{A931B384-DC94-AEFD-D61E-D49C30D6C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12700</xdr:colOff>
      <xdr:row>68</xdr:row>
      <xdr:rowOff>0</xdr:rowOff>
    </xdr:from>
    <xdr:to>
      <xdr:col>3</xdr:col>
      <xdr:colOff>660400</xdr:colOff>
      <xdr:row>68</xdr:row>
      <xdr:rowOff>1905000</xdr:rowOff>
    </xdr:to>
    <xdr:pic>
      <xdr:nvPicPr>
        <xdr:cNvPr id="1027" name="Picture 3">
          <a:extLst>
            <a:ext uri="{FF2B5EF4-FFF2-40B4-BE49-F238E27FC236}">
              <a16:creationId xmlns:a16="http://schemas.microsoft.com/office/drawing/2014/main" id="{C5E91662-CF7C-1459-32FE-A051608D90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10668000"/>
          <a:ext cx="64008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0</xdr:col>
      <xdr:colOff>1041400</xdr:colOff>
      <xdr:row>2</xdr:row>
      <xdr:rowOff>101600</xdr:rowOff>
    </xdr:to>
    <xdr:pic>
      <xdr:nvPicPr>
        <xdr:cNvPr id="6" name="Picture 2">
          <a:extLst>
            <a:ext uri="{FF2B5EF4-FFF2-40B4-BE49-F238E27FC236}">
              <a16:creationId xmlns:a16="http://schemas.microsoft.com/office/drawing/2014/main" id="{D1539085-BDBD-2348-97CD-ABE189537B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12700</xdr:colOff>
      <xdr:row>68</xdr:row>
      <xdr:rowOff>0</xdr:rowOff>
    </xdr:from>
    <xdr:to>
      <xdr:col>3</xdr:col>
      <xdr:colOff>660400</xdr:colOff>
      <xdr:row>68</xdr:row>
      <xdr:rowOff>1905000</xdr:rowOff>
    </xdr:to>
    <xdr:pic>
      <xdr:nvPicPr>
        <xdr:cNvPr id="7" name="Picture 3">
          <a:extLst>
            <a:ext uri="{FF2B5EF4-FFF2-40B4-BE49-F238E27FC236}">
              <a16:creationId xmlns:a16="http://schemas.microsoft.com/office/drawing/2014/main" id="{3FC8AE5D-D180-8442-BED4-D3A38B8673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700" y="10668000"/>
          <a:ext cx="64008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3076" name="Picture 4">
          <a:extLst>
            <a:ext uri="{FF2B5EF4-FFF2-40B4-BE49-F238E27FC236}">
              <a16:creationId xmlns:a16="http://schemas.microsoft.com/office/drawing/2014/main" id="{85C02233-7257-C9D8-438D-2926CF951D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5124" name="Picture 4">
          <a:extLst>
            <a:ext uri="{FF2B5EF4-FFF2-40B4-BE49-F238E27FC236}">
              <a16:creationId xmlns:a16="http://schemas.microsoft.com/office/drawing/2014/main" id="{D302C5A8-17BE-4AE4-5A1A-1B178D2837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7172" name="Picture 4">
          <a:extLst>
            <a:ext uri="{FF2B5EF4-FFF2-40B4-BE49-F238E27FC236}">
              <a16:creationId xmlns:a16="http://schemas.microsoft.com/office/drawing/2014/main" id="{466CD7EC-AE2A-7E89-4BE3-0AA37332F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 name="Picture 2">
          <a:extLst>
            <a:ext uri="{FF2B5EF4-FFF2-40B4-BE49-F238E27FC236}">
              <a16:creationId xmlns:a16="http://schemas.microsoft.com/office/drawing/2014/main" id="{D708FD89-4FC3-854F-9A05-6CAFECEFC6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47</xdr:row>
      <xdr:rowOff>0</xdr:rowOff>
    </xdr:from>
    <xdr:to>
      <xdr:col>3</xdr:col>
      <xdr:colOff>876300</xdr:colOff>
      <xdr:row>49</xdr:row>
      <xdr:rowOff>101600</xdr:rowOff>
    </xdr:to>
    <xdr:pic>
      <xdr:nvPicPr>
        <xdr:cNvPr id="3" name="Picture 3">
          <a:extLst>
            <a:ext uri="{FF2B5EF4-FFF2-40B4-BE49-F238E27FC236}">
              <a16:creationId xmlns:a16="http://schemas.microsoft.com/office/drawing/2014/main" id="{CFEF5645-6E8C-0F48-A546-7A47DD9B60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7150100"/>
          <a:ext cx="8763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5602" name="Picture 2">
          <a:extLst>
            <a:ext uri="{FF2B5EF4-FFF2-40B4-BE49-F238E27FC236}">
              <a16:creationId xmlns:a16="http://schemas.microsoft.com/office/drawing/2014/main" id="{8F41FF98-5E97-F8D6-B687-5E6E10C05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teddy/Desktop/Studyabroad/Spring%20A%202024/Investment%20Praxis/Praxis%20Project/Stock_AAPL/IS_AAPL_Self-made_20230505.xlsx%20&#30340;&#21103;&#26412;.xlsx" TargetMode="External"/><Relationship Id="rId2" Type="http://schemas.microsoft.com/office/2019/04/relationships/externalLinkLongPath" Target="/Users/teddy/Library/Containers/com.tencent.xinWeChat/Data/Library/Application%20Support/com.tencent.xinWeChat/2.0b4.0.9/02998639511c30a23548d259f0b2c946/Message/MessageTemp/8301a1b4a3e9cd14cf1a11b280cabbb8/File/IS_AAPL_Self-made_20230505.xlsx%20&#30340;&#21103;&#26412;.xlsx?BE8DDF33" TargetMode="External"/><Relationship Id="rId1" Type="http://schemas.openxmlformats.org/officeDocument/2006/relationships/externalLinkPath" Target="file:///BE8DDF33/IS_AAPL_Self-made_20230505.xlsx%20&#30340;&#21103;&#264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S-Annual"/>
      <sheetName val="Segment Sales-Annual"/>
      <sheetName val="IS-Qty"/>
      <sheetName val="Segment Sales-Qty"/>
      <sheetName val="預測差異"/>
      <sheetName val="IS Official"/>
      <sheetName val="河流"/>
      <sheetName val="IDC shipments YoY"/>
      <sheetName val="工作表1"/>
      <sheetName val="Gerographic Sales-Annual"/>
      <sheetName val="Geographic Sales-Qty"/>
      <sheetName val="Rev"/>
      <sheetName val="mkt share"/>
    </sheetNames>
    <sheetDataSet>
      <sheetData sheetId="0" refreshError="1"/>
      <sheetData sheetId="1">
        <row r="2">
          <cell r="F2">
            <v>155041</v>
          </cell>
          <cell r="G2">
            <v>136700</v>
          </cell>
          <cell r="H2">
            <v>139337</v>
          </cell>
          <cell r="I2">
            <v>164888</v>
          </cell>
          <cell r="J2">
            <v>142381</v>
          </cell>
          <cell r="K2">
            <v>137781</v>
          </cell>
          <cell r="L2">
            <v>191973</v>
          </cell>
        </row>
        <row r="3">
          <cell r="F3">
            <v>25471</v>
          </cell>
          <cell r="G3">
            <v>22831</v>
          </cell>
          <cell r="H3">
            <v>25569</v>
          </cell>
          <cell r="I3">
            <v>25198</v>
          </cell>
          <cell r="J3">
            <v>25740</v>
          </cell>
          <cell r="K3">
            <v>28622</v>
          </cell>
          <cell r="L3">
            <v>35190</v>
          </cell>
        </row>
        <row r="4">
          <cell r="F4">
            <v>23227</v>
          </cell>
          <cell r="G4">
            <v>20628</v>
          </cell>
          <cell r="H4">
            <v>18802</v>
          </cell>
          <cell r="I4">
            <v>18380</v>
          </cell>
          <cell r="J4">
            <v>21280</v>
          </cell>
          <cell r="K4">
            <v>23724</v>
          </cell>
          <cell r="L4">
            <v>31862</v>
          </cell>
        </row>
        <row r="5">
          <cell r="I5">
            <v>17381</v>
          </cell>
          <cell r="J5">
            <v>24482</v>
          </cell>
          <cell r="K5">
            <v>30620</v>
          </cell>
          <cell r="L5">
            <v>38367</v>
          </cell>
        </row>
        <row r="6">
          <cell r="F6">
            <v>19909</v>
          </cell>
          <cell r="G6">
            <v>24348</v>
          </cell>
          <cell r="H6">
            <v>32700</v>
          </cell>
          <cell r="I6">
            <v>39748</v>
          </cell>
          <cell r="J6">
            <v>46291</v>
          </cell>
          <cell r="K6">
            <v>53768</v>
          </cell>
          <cell r="L6">
            <v>68425</v>
          </cell>
        </row>
        <row r="7">
          <cell r="F7">
            <v>10067</v>
          </cell>
          <cell r="G7">
            <v>11132</v>
          </cell>
        </row>
        <row r="8">
          <cell r="H8">
            <v>229234</v>
          </cell>
        </row>
      </sheetData>
      <sheetData sheetId="2" refreshError="1"/>
      <sheetData sheetId="3">
        <row r="2">
          <cell r="B2">
            <v>51182</v>
          </cell>
          <cell r="C2">
            <v>40282</v>
          </cell>
          <cell r="D2">
            <v>31368</v>
          </cell>
          <cell r="F2">
            <v>51635</v>
          </cell>
          <cell r="G2">
            <v>32857</v>
          </cell>
          <cell r="H2">
            <v>24048</v>
          </cell>
          <cell r="J2">
            <v>54378</v>
          </cell>
          <cell r="K2">
            <v>33249</v>
          </cell>
          <cell r="L2">
            <v>24846</v>
          </cell>
          <cell r="N2">
            <v>61104</v>
          </cell>
          <cell r="O2">
            <v>37559</v>
          </cell>
          <cell r="P2">
            <v>29470</v>
          </cell>
          <cell r="R2">
            <v>51982</v>
          </cell>
          <cell r="S2">
            <v>31051</v>
          </cell>
          <cell r="T2">
            <v>25986</v>
          </cell>
          <cell r="V2">
            <v>55957</v>
          </cell>
          <cell r="W2">
            <v>28962</v>
          </cell>
          <cell r="X2">
            <v>26418</v>
          </cell>
          <cell r="Z2">
            <v>65597</v>
          </cell>
          <cell r="AA2">
            <v>47938</v>
          </cell>
          <cell r="AB2">
            <v>39570</v>
          </cell>
        </row>
        <row r="7">
          <cell r="B7">
            <v>6944</v>
          </cell>
          <cell r="C7">
            <v>5615</v>
          </cell>
          <cell r="D7">
            <v>6030</v>
          </cell>
          <cell r="F7">
            <v>6746</v>
          </cell>
          <cell r="G7">
            <v>5107</v>
          </cell>
          <cell r="H7">
            <v>5239</v>
          </cell>
          <cell r="J7">
            <v>7244</v>
          </cell>
          <cell r="K7">
            <v>5844</v>
          </cell>
          <cell r="L7">
            <v>5592</v>
          </cell>
          <cell r="N7">
            <v>6824</v>
          </cell>
          <cell r="O7">
            <v>5776</v>
          </cell>
          <cell r="P7">
            <v>5258</v>
          </cell>
          <cell r="R7">
            <v>7416</v>
          </cell>
          <cell r="S7">
            <v>5513</v>
          </cell>
          <cell r="T7">
            <v>5820</v>
          </cell>
          <cell r="V7">
            <v>7160</v>
          </cell>
          <cell r="W7">
            <v>5351</v>
          </cell>
          <cell r="X7">
            <v>7079</v>
          </cell>
          <cell r="Z7">
            <v>8675</v>
          </cell>
          <cell r="AA7">
            <v>9102</v>
          </cell>
          <cell r="AB7">
            <v>8235</v>
          </cell>
        </row>
        <row r="12">
          <cell r="B12">
            <v>8985</v>
          </cell>
          <cell r="C12">
            <v>5428</v>
          </cell>
          <cell r="D12">
            <v>4538</v>
          </cell>
          <cell r="F12">
            <v>7084</v>
          </cell>
          <cell r="G12">
            <v>4413</v>
          </cell>
          <cell r="H12">
            <v>4876</v>
          </cell>
          <cell r="J12">
            <v>5533</v>
          </cell>
          <cell r="K12">
            <v>3889</v>
          </cell>
          <cell r="L12">
            <v>4969</v>
          </cell>
          <cell r="N12">
            <v>5755</v>
          </cell>
          <cell r="O12">
            <v>4008</v>
          </cell>
          <cell r="P12">
            <v>4634</v>
          </cell>
          <cell r="R12">
            <v>6729</v>
          </cell>
          <cell r="S12">
            <v>4872</v>
          </cell>
          <cell r="T12">
            <v>5023</v>
          </cell>
          <cell r="V12">
            <v>5977</v>
          </cell>
          <cell r="W12">
            <v>4368</v>
          </cell>
          <cell r="X12">
            <v>6582</v>
          </cell>
          <cell r="Z12">
            <v>8435</v>
          </cell>
          <cell r="AA12">
            <v>7807</v>
          </cell>
          <cell r="AB12">
            <v>7368</v>
          </cell>
        </row>
        <row r="17">
          <cell r="N17">
            <v>5481</v>
          </cell>
          <cell r="O17">
            <v>3944</v>
          </cell>
          <cell r="P17">
            <v>3733</v>
          </cell>
          <cell r="R17">
            <v>7308</v>
          </cell>
          <cell r="S17">
            <v>5129</v>
          </cell>
          <cell r="T17">
            <v>5525</v>
          </cell>
          <cell r="V17">
            <v>10010</v>
          </cell>
          <cell r="W17">
            <v>6284</v>
          </cell>
          <cell r="X17">
            <v>6450</v>
          </cell>
          <cell r="Z17">
            <v>12971</v>
          </cell>
          <cell r="AA17">
            <v>7836</v>
          </cell>
          <cell r="AB17">
            <v>8775</v>
          </cell>
        </row>
        <row r="22">
          <cell r="B22">
            <v>4799</v>
          </cell>
          <cell r="C22">
            <v>4996</v>
          </cell>
          <cell r="D22">
            <v>5028</v>
          </cell>
          <cell r="F22">
            <v>6056</v>
          </cell>
          <cell r="G22">
            <v>5991</v>
          </cell>
          <cell r="H22">
            <v>5976</v>
          </cell>
          <cell r="J22">
            <v>7172</v>
          </cell>
          <cell r="K22">
            <v>7041</v>
          </cell>
          <cell r="L22">
            <v>7266</v>
          </cell>
          <cell r="N22">
            <v>9129</v>
          </cell>
          <cell r="O22">
            <v>9850</v>
          </cell>
          <cell r="P22">
            <v>10170</v>
          </cell>
          <cell r="R22">
            <v>10875</v>
          </cell>
          <cell r="S22">
            <v>11450</v>
          </cell>
          <cell r="T22">
            <v>11455</v>
          </cell>
          <cell r="V22">
            <v>12715</v>
          </cell>
          <cell r="W22">
            <v>13348</v>
          </cell>
          <cell r="X22">
            <v>13156</v>
          </cell>
          <cell r="Z22">
            <v>15761</v>
          </cell>
          <cell r="AA22">
            <v>16901</v>
          </cell>
          <cell r="AB22">
            <v>17486</v>
          </cell>
        </row>
        <row r="27">
          <cell r="B27">
            <v>2689</v>
          </cell>
          <cell r="C27">
            <v>1689</v>
          </cell>
          <cell r="D27">
            <v>2641</v>
          </cell>
          <cell r="F27">
            <v>4351</v>
          </cell>
          <cell r="G27">
            <v>2189</v>
          </cell>
          <cell r="H27">
            <v>2219</v>
          </cell>
        </row>
        <row r="32">
          <cell r="J32">
            <v>78351</v>
          </cell>
          <cell r="K32">
            <v>52896</v>
          </cell>
          <cell r="L32">
            <v>45408</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5:IU94"/>
  <sheetViews>
    <sheetView topLeftCell="A77" zoomScale="192" workbookViewId="0">
      <selection activeCell="B95" sqref="B95"/>
    </sheetView>
  </sheetViews>
  <sheetFormatPr baseColWidth="10" defaultRowHeight="11"/>
  <cols>
    <col min="1" max="1" width="45.83203125" customWidth="1"/>
    <col min="2" max="16" width="14.83203125" customWidth="1"/>
    <col min="17" max="256" width="8.83203125" customWidth="1"/>
    <col min="257" max="257" width="45.83203125" customWidth="1"/>
    <col min="258" max="272" width="14.83203125" customWidth="1"/>
    <col min="273" max="512" width="8.83203125" customWidth="1"/>
    <col min="513" max="513" width="45.83203125" customWidth="1"/>
    <col min="514" max="528" width="14.83203125" customWidth="1"/>
    <col min="529" max="768" width="8.83203125" customWidth="1"/>
    <col min="769" max="769" width="45.83203125" customWidth="1"/>
    <col min="770" max="784" width="14.83203125" customWidth="1"/>
    <col min="785" max="1024" width="8.83203125" customWidth="1"/>
    <col min="1025" max="1025" width="45.83203125" customWidth="1"/>
    <col min="1026" max="1040" width="14.83203125" customWidth="1"/>
    <col min="1041" max="1280" width="8.83203125" customWidth="1"/>
    <col min="1281" max="1281" width="45.83203125" customWidth="1"/>
    <col min="1282" max="1296" width="14.83203125" customWidth="1"/>
    <col min="1297" max="1536" width="8.83203125" customWidth="1"/>
    <col min="1537" max="1537" width="45.83203125" customWidth="1"/>
    <col min="1538" max="1552" width="14.83203125" customWidth="1"/>
    <col min="1553" max="1792" width="8.83203125" customWidth="1"/>
    <col min="1793" max="1793" width="45.83203125" customWidth="1"/>
    <col min="1794" max="1808" width="14.83203125" customWidth="1"/>
    <col min="1809" max="2048" width="8.83203125" customWidth="1"/>
    <col min="2049" max="2049" width="45.83203125" customWidth="1"/>
    <col min="2050" max="2064" width="14.83203125" customWidth="1"/>
    <col min="2065" max="2304" width="8.83203125" customWidth="1"/>
    <col min="2305" max="2305" width="45.83203125" customWidth="1"/>
    <col min="2306" max="2320" width="14.83203125" customWidth="1"/>
    <col min="2321" max="2560" width="8.83203125" customWidth="1"/>
    <col min="2561" max="2561" width="45.83203125" customWidth="1"/>
    <col min="2562" max="2576" width="14.83203125" customWidth="1"/>
    <col min="2577" max="2816" width="8.83203125" customWidth="1"/>
    <col min="2817" max="2817" width="45.83203125" customWidth="1"/>
    <col min="2818" max="2832" width="14.83203125" customWidth="1"/>
    <col min="2833" max="3072" width="8.83203125" customWidth="1"/>
    <col min="3073" max="3073" width="45.83203125" customWidth="1"/>
    <col min="3074" max="3088" width="14.83203125" customWidth="1"/>
    <col min="3089" max="3328" width="8.83203125" customWidth="1"/>
    <col min="3329" max="3329" width="45.83203125" customWidth="1"/>
    <col min="3330" max="3344" width="14.83203125" customWidth="1"/>
    <col min="3345" max="3584" width="8.83203125" customWidth="1"/>
    <col min="3585" max="3585" width="45.83203125" customWidth="1"/>
    <col min="3586" max="3600" width="14.83203125" customWidth="1"/>
    <col min="3601" max="3840" width="8.83203125" customWidth="1"/>
    <col min="3841" max="3841" width="45.83203125" customWidth="1"/>
    <col min="3842" max="3856" width="14.83203125" customWidth="1"/>
    <col min="3857" max="4096" width="8.83203125" customWidth="1"/>
    <col min="4097" max="4097" width="45.83203125" customWidth="1"/>
    <col min="4098" max="4112" width="14.83203125" customWidth="1"/>
    <col min="4113" max="4352" width="8.83203125" customWidth="1"/>
    <col min="4353" max="4353" width="45.83203125" customWidth="1"/>
    <col min="4354" max="4368" width="14.83203125" customWidth="1"/>
    <col min="4369" max="4608" width="8.83203125" customWidth="1"/>
    <col min="4609" max="4609" width="45.83203125" customWidth="1"/>
    <col min="4610" max="4624" width="14.83203125" customWidth="1"/>
    <col min="4625" max="4864" width="8.83203125" customWidth="1"/>
    <col min="4865" max="4865" width="45.83203125" customWidth="1"/>
    <col min="4866" max="4880" width="14.83203125" customWidth="1"/>
    <col min="4881" max="5120" width="8.83203125" customWidth="1"/>
    <col min="5121" max="5121" width="45.83203125" customWidth="1"/>
    <col min="5122" max="5136" width="14.83203125" customWidth="1"/>
    <col min="5137" max="5376" width="8.83203125" customWidth="1"/>
    <col min="5377" max="5377" width="45.83203125" customWidth="1"/>
    <col min="5378" max="5392" width="14.83203125" customWidth="1"/>
    <col min="5393" max="5632" width="8.83203125" customWidth="1"/>
    <col min="5633" max="5633" width="45.83203125" customWidth="1"/>
    <col min="5634" max="5648" width="14.83203125" customWidth="1"/>
    <col min="5649" max="5888" width="8.83203125" customWidth="1"/>
    <col min="5889" max="5889" width="45.83203125" customWidth="1"/>
    <col min="5890" max="5904" width="14.83203125" customWidth="1"/>
    <col min="5905" max="6144" width="8.83203125" customWidth="1"/>
    <col min="6145" max="6145" width="45.83203125" customWidth="1"/>
    <col min="6146" max="6160" width="14.83203125" customWidth="1"/>
    <col min="6161" max="6400" width="8.83203125" customWidth="1"/>
    <col min="6401" max="6401" width="45.83203125" customWidth="1"/>
    <col min="6402" max="6416" width="14.83203125" customWidth="1"/>
    <col min="6417" max="6656" width="8.83203125" customWidth="1"/>
    <col min="6657" max="6657" width="45.83203125" customWidth="1"/>
    <col min="6658" max="6672" width="14.83203125" customWidth="1"/>
    <col min="6673" max="6912" width="8.83203125" customWidth="1"/>
    <col min="6913" max="6913" width="45.83203125" customWidth="1"/>
    <col min="6914" max="6928" width="14.83203125" customWidth="1"/>
    <col min="6929" max="7168" width="8.83203125" customWidth="1"/>
    <col min="7169" max="7169" width="45.83203125" customWidth="1"/>
    <col min="7170" max="7184" width="14.83203125" customWidth="1"/>
    <col min="7185" max="7424" width="8.83203125" customWidth="1"/>
    <col min="7425" max="7425" width="45.83203125" customWidth="1"/>
    <col min="7426" max="7440" width="14.83203125" customWidth="1"/>
    <col min="7441" max="7680" width="8.83203125" customWidth="1"/>
    <col min="7681" max="7681" width="45.83203125" customWidth="1"/>
    <col min="7682" max="7696" width="14.83203125" customWidth="1"/>
    <col min="7697" max="7936" width="8.83203125" customWidth="1"/>
    <col min="7937" max="7937" width="45.83203125" customWidth="1"/>
    <col min="7938" max="7952" width="14.83203125" customWidth="1"/>
    <col min="7953" max="8192" width="8.83203125" customWidth="1"/>
    <col min="8193" max="8193" width="45.83203125" customWidth="1"/>
    <col min="8194" max="8208" width="14.83203125" customWidth="1"/>
    <col min="8209" max="8448" width="8.83203125" customWidth="1"/>
    <col min="8449" max="8449" width="45.83203125" customWidth="1"/>
    <col min="8450" max="8464" width="14.83203125" customWidth="1"/>
    <col min="8465" max="8704" width="8.83203125" customWidth="1"/>
    <col min="8705" max="8705" width="45.83203125" customWidth="1"/>
    <col min="8706" max="8720" width="14.83203125" customWidth="1"/>
    <col min="8721" max="8960" width="8.83203125" customWidth="1"/>
    <col min="8961" max="8961" width="45.83203125" customWidth="1"/>
    <col min="8962" max="8976" width="14.83203125" customWidth="1"/>
    <col min="8977" max="9216" width="8.83203125" customWidth="1"/>
    <col min="9217" max="9217" width="45.83203125" customWidth="1"/>
    <col min="9218" max="9232" width="14.83203125" customWidth="1"/>
    <col min="9233" max="9472" width="8.83203125" customWidth="1"/>
    <col min="9473" max="9473" width="45.83203125" customWidth="1"/>
    <col min="9474" max="9488" width="14.83203125" customWidth="1"/>
    <col min="9489" max="9728" width="8.83203125" customWidth="1"/>
    <col min="9729" max="9729" width="45.83203125" customWidth="1"/>
    <col min="9730" max="9744" width="14.83203125" customWidth="1"/>
    <col min="9745" max="9984" width="8.83203125" customWidth="1"/>
    <col min="9985" max="9985" width="45.83203125" customWidth="1"/>
    <col min="9986" max="10000" width="14.83203125" customWidth="1"/>
    <col min="10001" max="10240" width="8.83203125" customWidth="1"/>
    <col min="10241" max="10241" width="45.83203125" customWidth="1"/>
    <col min="10242" max="10256" width="14.83203125" customWidth="1"/>
    <col min="10257" max="10496" width="8.83203125" customWidth="1"/>
    <col min="10497" max="10497" width="45.83203125" customWidth="1"/>
    <col min="10498" max="10512" width="14.83203125" customWidth="1"/>
    <col min="10513" max="10752" width="8.83203125" customWidth="1"/>
    <col min="10753" max="10753" width="45.83203125" customWidth="1"/>
    <col min="10754" max="10768" width="14.83203125" customWidth="1"/>
    <col min="10769" max="11008" width="8.83203125" customWidth="1"/>
    <col min="11009" max="11009" width="45.83203125" customWidth="1"/>
    <col min="11010" max="11024" width="14.83203125" customWidth="1"/>
    <col min="11025" max="11264" width="8.83203125" customWidth="1"/>
    <col min="11265" max="11265" width="45.83203125" customWidth="1"/>
    <col min="11266" max="11280" width="14.83203125" customWidth="1"/>
    <col min="11281" max="11520" width="8.83203125" customWidth="1"/>
    <col min="11521" max="11521" width="45.83203125" customWidth="1"/>
    <col min="11522" max="11536" width="14.83203125" customWidth="1"/>
    <col min="11537" max="11776" width="8.83203125" customWidth="1"/>
    <col min="11777" max="11777" width="45.83203125" customWidth="1"/>
    <col min="11778" max="11792" width="14.83203125" customWidth="1"/>
    <col min="11793" max="12032" width="8.83203125" customWidth="1"/>
    <col min="12033" max="12033" width="45.83203125" customWidth="1"/>
    <col min="12034" max="12048" width="14.83203125" customWidth="1"/>
    <col min="12049" max="12288" width="8.83203125" customWidth="1"/>
    <col min="12289" max="12289" width="45.83203125" customWidth="1"/>
    <col min="12290" max="12304" width="14.83203125" customWidth="1"/>
    <col min="12305" max="12544" width="8.83203125" customWidth="1"/>
    <col min="12545" max="12545" width="45.83203125" customWidth="1"/>
    <col min="12546" max="12560" width="14.83203125" customWidth="1"/>
    <col min="12561" max="12800" width="8.83203125" customWidth="1"/>
    <col min="12801" max="12801" width="45.83203125" customWidth="1"/>
    <col min="12802" max="12816" width="14.83203125" customWidth="1"/>
    <col min="12817" max="13056" width="8.83203125" customWidth="1"/>
    <col min="13057" max="13057" width="45.83203125" customWidth="1"/>
    <col min="13058" max="13072" width="14.83203125" customWidth="1"/>
    <col min="13073" max="13312" width="8.83203125" customWidth="1"/>
    <col min="13313" max="13313" width="45.83203125" customWidth="1"/>
    <col min="13314" max="13328" width="14.83203125" customWidth="1"/>
    <col min="13329" max="13568" width="8.83203125" customWidth="1"/>
    <col min="13569" max="13569" width="45.83203125" customWidth="1"/>
    <col min="13570" max="13584" width="14.83203125" customWidth="1"/>
    <col min="13585" max="13824" width="8.83203125" customWidth="1"/>
    <col min="13825" max="13825" width="45.83203125" customWidth="1"/>
    <col min="13826" max="13840" width="14.83203125" customWidth="1"/>
    <col min="13841" max="14080" width="8.83203125" customWidth="1"/>
    <col min="14081" max="14081" width="45.83203125" customWidth="1"/>
    <col min="14082" max="14096" width="14.83203125" customWidth="1"/>
    <col min="14097" max="14336" width="8.83203125" customWidth="1"/>
    <col min="14337" max="14337" width="45.83203125" customWidth="1"/>
    <col min="14338" max="14352" width="14.83203125" customWidth="1"/>
    <col min="14353" max="14592" width="8.83203125" customWidth="1"/>
    <col min="14593" max="14593" width="45.83203125" customWidth="1"/>
    <col min="14594" max="14608" width="14.83203125" customWidth="1"/>
    <col min="14609" max="14848" width="8.83203125" customWidth="1"/>
    <col min="14849" max="14849" width="45.83203125" customWidth="1"/>
    <col min="14850" max="14864" width="14.83203125" customWidth="1"/>
    <col min="14865" max="15104" width="8.83203125" customWidth="1"/>
    <col min="15105" max="15105" width="45.83203125" customWidth="1"/>
    <col min="15106" max="15120" width="14.83203125" customWidth="1"/>
    <col min="15121" max="15360" width="8.83203125" customWidth="1"/>
    <col min="15361" max="15361" width="45.83203125" customWidth="1"/>
    <col min="15362" max="15376" width="14.83203125" customWidth="1"/>
    <col min="15377" max="15616" width="8.83203125" customWidth="1"/>
    <col min="15617" max="15617" width="45.83203125" customWidth="1"/>
    <col min="15618" max="15632" width="14.83203125" customWidth="1"/>
    <col min="15633" max="15872" width="8.83203125" customWidth="1"/>
    <col min="15873" max="15873" width="45.83203125" customWidth="1"/>
    <col min="15874" max="15888" width="14.83203125" customWidth="1"/>
    <col min="15889" max="16128" width="8.83203125" customWidth="1"/>
    <col min="16129" max="16129" width="45.83203125" customWidth="1"/>
    <col min="16130" max="16144" width="14.83203125" customWidth="1"/>
    <col min="16145" max="16384" width="8.83203125" customWidth="1"/>
  </cols>
  <sheetData>
    <row r="5" spans="1:255" ht="17">
      <c r="A5" s="1" t="s">
        <v>0</v>
      </c>
    </row>
    <row r="7" spans="1:255" ht="12">
      <c r="A7" s="2" t="s">
        <v>1</v>
      </c>
      <c r="B7" s="3" t="s">
        <v>2</v>
      </c>
      <c r="C7" t="s">
        <v>3</v>
      </c>
      <c r="D7" s="4" t="s">
        <v>4</v>
      </c>
      <c r="E7" s="3" t="s">
        <v>5</v>
      </c>
      <c r="F7" t="s">
        <v>6</v>
      </c>
    </row>
    <row r="8" spans="1:255">
      <c r="A8" s="4"/>
      <c r="B8" s="3" t="s">
        <v>7</v>
      </c>
      <c r="C8" t="s">
        <v>8</v>
      </c>
      <c r="D8" s="4" t="s">
        <v>4</v>
      </c>
      <c r="E8" s="3" t="s">
        <v>9</v>
      </c>
      <c r="F8" t="s">
        <v>10</v>
      </c>
    </row>
    <row r="9" spans="1:255">
      <c r="A9" s="4"/>
      <c r="B9" s="3" t="s">
        <v>11</v>
      </c>
      <c r="C9" s="5" t="s">
        <v>12</v>
      </c>
      <c r="D9" s="4" t="s">
        <v>4</v>
      </c>
      <c r="E9" s="3" t="s">
        <v>13</v>
      </c>
      <c r="F9" t="s">
        <v>14</v>
      </c>
    </row>
    <row r="12" spans="1:255">
      <c r="A12" s="6" t="s">
        <v>15</v>
      </c>
      <c r="B12" s="6"/>
      <c r="C12" s="6"/>
      <c r="D12" s="6"/>
      <c r="E12" s="6"/>
      <c r="F12" s="6"/>
      <c r="G12" s="6"/>
      <c r="H12" s="6"/>
      <c r="I12" s="6"/>
      <c r="J12" s="6"/>
      <c r="K12" s="6"/>
      <c r="L12" s="6"/>
      <c r="M12" s="6"/>
      <c r="N12" s="6"/>
      <c r="O12" s="6"/>
      <c r="P12" s="6"/>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c r="IF12" s="27"/>
      <c r="IG12" s="27"/>
      <c r="IH12" s="27"/>
      <c r="II12" s="27"/>
      <c r="IJ12" s="27"/>
      <c r="IK12" s="27"/>
      <c r="IL12" s="27"/>
      <c r="IM12" s="27"/>
      <c r="IN12" s="27"/>
      <c r="IO12" s="27"/>
      <c r="IP12" s="27"/>
      <c r="IQ12" s="27"/>
      <c r="IR12" s="27"/>
      <c r="IS12" s="27"/>
      <c r="IT12" s="27"/>
      <c r="IU12" s="27"/>
    </row>
    <row r="13" spans="1:255" ht="36">
      <c r="A13" s="7" t="s">
        <v>16</v>
      </c>
      <c r="B13" s="12" t="s">
        <v>17</v>
      </c>
      <c r="C13" s="12" t="s">
        <v>18</v>
      </c>
      <c r="D13" s="12" t="s">
        <v>19</v>
      </c>
      <c r="E13" s="12" t="s">
        <v>20</v>
      </c>
      <c r="F13" s="12" t="s">
        <v>21</v>
      </c>
      <c r="G13" s="12" t="s">
        <v>22</v>
      </c>
      <c r="H13" s="12" t="s">
        <v>23</v>
      </c>
      <c r="I13" s="12" t="s">
        <v>24</v>
      </c>
      <c r="J13" s="12" t="s">
        <v>25</v>
      </c>
      <c r="K13" s="12" t="s">
        <v>26</v>
      </c>
      <c r="L13" s="12" t="s">
        <v>27</v>
      </c>
      <c r="M13" s="12" t="s">
        <v>28</v>
      </c>
      <c r="N13" s="12" t="s">
        <v>29</v>
      </c>
      <c r="O13" s="12" t="s">
        <v>72</v>
      </c>
      <c r="P13" s="12" t="s">
        <v>73</v>
      </c>
    </row>
    <row r="14" spans="1:255" ht="12">
      <c r="A14" s="8" t="s">
        <v>30</v>
      </c>
      <c r="B14" s="13" t="s">
        <v>31</v>
      </c>
      <c r="C14" s="13" t="s">
        <v>31</v>
      </c>
      <c r="D14" s="13" t="s">
        <v>31</v>
      </c>
      <c r="E14" s="13" t="s">
        <v>31</v>
      </c>
      <c r="F14" s="13" t="s">
        <v>31</v>
      </c>
      <c r="G14" s="13" t="s">
        <v>31</v>
      </c>
      <c r="H14" s="13" t="s">
        <v>31</v>
      </c>
      <c r="I14" s="13" t="s">
        <v>31</v>
      </c>
      <c r="J14" s="13" t="s">
        <v>31</v>
      </c>
      <c r="K14" s="13" t="s">
        <v>31</v>
      </c>
      <c r="L14" s="13" t="s">
        <v>31</v>
      </c>
      <c r="M14" s="13" t="s">
        <v>31</v>
      </c>
      <c r="N14" s="13" t="s">
        <v>31</v>
      </c>
      <c r="O14" s="13" t="s">
        <v>31</v>
      </c>
      <c r="P14" s="13" t="s">
        <v>31</v>
      </c>
    </row>
    <row r="15" spans="1:255">
      <c r="A15" s="9"/>
      <c r="B15" s="4"/>
      <c r="C15" s="4"/>
      <c r="D15" s="4"/>
      <c r="E15" s="4"/>
      <c r="F15" s="4"/>
      <c r="G15" s="4"/>
      <c r="H15" s="4"/>
      <c r="I15" s="4"/>
      <c r="J15" s="4"/>
      <c r="K15" s="4"/>
      <c r="L15" s="4"/>
      <c r="M15" s="4"/>
      <c r="N15" s="4"/>
      <c r="O15" s="4"/>
      <c r="P15" s="4"/>
    </row>
    <row r="16" spans="1:255">
      <c r="A16" s="9" t="s">
        <v>32</v>
      </c>
      <c r="B16" s="14">
        <v>170910</v>
      </c>
      <c r="C16" s="14">
        <v>182795</v>
      </c>
      <c r="D16" s="14">
        <v>233715</v>
      </c>
      <c r="E16" s="14">
        <v>215639</v>
      </c>
      <c r="F16" s="14">
        <v>229234</v>
      </c>
      <c r="G16" s="14">
        <v>265595</v>
      </c>
      <c r="H16" s="14">
        <v>260174</v>
      </c>
      <c r="I16" s="14">
        <v>274515</v>
      </c>
      <c r="J16" s="14">
        <v>365817</v>
      </c>
      <c r="K16" s="14">
        <v>394328</v>
      </c>
      <c r="L16" s="14">
        <v>383285</v>
      </c>
      <c r="M16" s="14">
        <v>385706</v>
      </c>
      <c r="N16" s="16">
        <v>388204.69488999998</v>
      </c>
      <c r="O16" s="16">
        <v>412561.69676999998</v>
      </c>
      <c r="P16" s="16">
        <v>435593.03985</v>
      </c>
    </row>
    <row r="17" spans="1:16">
      <c r="A17" s="10" t="s">
        <v>33</v>
      </c>
      <c r="B17" s="15">
        <v>9.2020000000000005E-2</v>
      </c>
      <c r="C17" s="15">
        <v>6.9539000000000004E-2</v>
      </c>
      <c r="D17" s="15">
        <v>0.27856300000000001</v>
      </c>
      <c r="E17" s="15">
        <v>-7.7342999999999995E-2</v>
      </c>
      <c r="F17" s="15">
        <v>6.3045000000000004E-2</v>
      </c>
      <c r="G17" s="15">
        <v>0.15861900000000001</v>
      </c>
      <c r="H17" s="15">
        <v>-2.0410999999999999E-2</v>
      </c>
      <c r="I17" s="15">
        <v>5.5120000000000002E-2</v>
      </c>
      <c r="J17" s="15">
        <v>0.33259300000000003</v>
      </c>
      <c r="K17" s="15">
        <v>7.7937000000000006E-2</v>
      </c>
      <c r="L17" s="15">
        <v>-2.8004999999999999E-2</v>
      </c>
      <c r="M17" s="15">
        <v>-4.725E-3</v>
      </c>
      <c r="N17" s="19">
        <v>1.2835605072E-2</v>
      </c>
      <c r="O17" s="19">
        <v>6.2742677253999998E-2</v>
      </c>
      <c r="P17" s="19">
        <v>5.5825209320999998E-2</v>
      </c>
    </row>
    <row r="18" spans="1:16">
      <c r="A18" s="4"/>
      <c r="B18" s="4"/>
      <c r="C18" s="4"/>
      <c r="D18" s="4"/>
      <c r="E18" s="4"/>
      <c r="F18" s="4"/>
      <c r="G18" s="4"/>
      <c r="H18" s="4"/>
      <c r="I18" s="4"/>
      <c r="J18" s="4"/>
      <c r="K18" s="4"/>
      <c r="L18" s="4"/>
      <c r="M18" s="4"/>
      <c r="N18" s="4"/>
      <c r="O18" s="4"/>
      <c r="P18" s="4"/>
    </row>
    <row r="19" spans="1:16" ht="12">
      <c r="A19" s="9" t="s">
        <v>34</v>
      </c>
      <c r="B19" s="14">
        <v>64304</v>
      </c>
      <c r="C19" s="14">
        <v>70537</v>
      </c>
      <c r="D19" s="14">
        <v>93626</v>
      </c>
      <c r="E19" s="14">
        <v>84263</v>
      </c>
      <c r="F19" s="14">
        <v>88186</v>
      </c>
      <c r="G19" s="14">
        <v>101839</v>
      </c>
      <c r="H19" s="14">
        <v>98392</v>
      </c>
      <c r="I19" s="14">
        <v>104956</v>
      </c>
      <c r="J19" s="14">
        <v>152836</v>
      </c>
      <c r="K19" s="14">
        <v>170782</v>
      </c>
      <c r="L19" s="14">
        <v>169148</v>
      </c>
      <c r="M19" s="14">
        <v>173671</v>
      </c>
      <c r="N19" s="14" t="s">
        <v>35</v>
      </c>
      <c r="O19" s="14" t="s">
        <v>35</v>
      </c>
      <c r="P19" s="14" t="s">
        <v>35</v>
      </c>
    </row>
    <row r="20" spans="1:16">
      <c r="A20" s="10" t="s">
        <v>36</v>
      </c>
      <c r="B20" s="15">
        <v>0.37624400000000002</v>
      </c>
      <c r="C20" s="15">
        <v>0.38588</v>
      </c>
      <c r="D20" s="15">
        <v>0.40059899999999998</v>
      </c>
      <c r="E20" s="15">
        <v>0.39075900000000002</v>
      </c>
      <c r="F20" s="15">
        <v>0.38469799999999998</v>
      </c>
      <c r="G20" s="15">
        <v>0.38343699999999997</v>
      </c>
      <c r="H20" s="15">
        <v>0.37817699999999999</v>
      </c>
      <c r="I20" s="15">
        <v>0.38233200000000001</v>
      </c>
      <c r="J20" s="15">
        <v>0.41779300000000003</v>
      </c>
      <c r="K20" s="15">
        <v>0.43309599999999998</v>
      </c>
      <c r="L20" s="15">
        <v>0.44131100000000001</v>
      </c>
      <c r="M20" s="15">
        <v>0.45026699999999997</v>
      </c>
      <c r="N20" s="19">
        <v>0.458179</v>
      </c>
      <c r="O20" s="19">
        <v>0.45849099999999998</v>
      </c>
      <c r="P20" s="19">
        <v>0.45857809999999999</v>
      </c>
    </row>
    <row r="21" spans="1:16">
      <c r="A21" s="4"/>
      <c r="B21" s="4"/>
      <c r="C21" s="4"/>
      <c r="D21" s="4"/>
      <c r="E21" s="4"/>
      <c r="F21" s="4"/>
      <c r="G21" s="4"/>
      <c r="H21" s="4"/>
      <c r="I21" s="4"/>
      <c r="J21" s="4"/>
      <c r="K21" s="4"/>
      <c r="L21" s="4"/>
      <c r="M21" s="4"/>
      <c r="N21" s="4"/>
      <c r="O21" s="4"/>
      <c r="P21" s="4"/>
    </row>
    <row r="22" spans="1:16">
      <c r="A22" s="9" t="s">
        <v>37</v>
      </c>
      <c r="B22" s="14">
        <v>55756</v>
      </c>
      <c r="C22" s="14">
        <v>60449</v>
      </c>
      <c r="D22" s="14">
        <v>82487</v>
      </c>
      <c r="E22" s="14">
        <v>70529</v>
      </c>
      <c r="F22" s="14">
        <v>71501</v>
      </c>
      <c r="G22" s="14">
        <v>81801</v>
      </c>
      <c r="H22" s="14">
        <v>76477</v>
      </c>
      <c r="I22" s="14">
        <v>77344</v>
      </c>
      <c r="J22" s="14">
        <v>120233</v>
      </c>
      <c r="K22" s="14">
        <v>130541</v>
      </c>
      <c r="L22" s="14">
        <v>125820</v>
      </c>
      <c r="M22" s="14">
        <v>130109</v>
      </c>
      <c r="N22" s="16">
        <v>132236.37116000001</v>
      </c>
      <c r="O22" s="16">
        <v>141059.85367000001</v>
      </c>
      <c r="P22" s="16">
        <v>148981.05903999999</v>
      </c>
    </row>
    <row r="23" spans="1:16">
      <c r="A23" s="10" t="s">
        <v>36</v>
      </c>
      <c r="B23" s="15">
        <v>0.32623000000000002</v>
      </c>
      <c r="C23" s="15">
        <v>0.33069199999999999</v>
      </c>
      <c r="D23" s="15">
        <v>0.35293799999999997</v>
      </c>
      <c r="E23" s="15">
        <v>0.327069</v>
      </c>
      <c r="F23" s="15">
        <v>0.31191200000000002</v>
      </c>
      <c r="G23" s="15">
        <v>0.30799100000000001</v>
      </c>
      <c r="H23" s="15">
        <v>0.29394500000000001</v>
      </c>
      <c r="I23" s="15">
        <v>0.28174700000000003</v>
      </c>
      <c r="J23" s="15">
        <v>0.32866899999999999</v>
      </c>
      <c r="K23" s="15">
        <v>0.33104600000000001</v>
      </c>
      <c r="L23" s="15">
        <v>0.32826699999999998</v>
      </c>
      <c r="M23" s="15">
        <v>0.33732600000000001</v>
      </c>
      <c r="N23" s="19">
        <v>0.340635682414</v>
      </c>
      <c r="O23" s="19">
        <v>0.34191214253399999</v>
      </c>
      <c r="P23" s="19">
        <v>0.342018915388</v>
      </c>
    </row>
    <row r="24" spans="1:16">
      <c r="A24" s="4"/>
      <c r="B24" s="4"/>
      <c r="C24" s="4"/>
      <c r="D24" s="4"/>
      <c r="E24" s="4"/>
      <c r="F24" s="4"/>
      <c r="G24" s="4"/>
      <c r="H24" s="4"/>
      <c r="I24" s="4"/>
      <c r="J24" s="4"/>
      <c r="K24" s="4"/>
      <c r="L24" s="4"/>
      <c r="M24" s="4"/>
      <c r="N24" s="4"/>
      <c r="O24" s="4"/>
      <c r="P24" s="4"/>
    </row>
    <row r="25" spans="1:16">
      <c r="A25" s="9" t="s">
        <v>38</v>
      </c>
      <c r="B25" s="14">
        <v>48999</v>
      </c>
      <c r="C25" s="14">
        <v>52503</v>
      </c>
      <c r="D25" s="14">
        <v>71230</v>
      </c>
      <c r="E25" s="14">
        <v>60024</v>
      </c>
      <c r="F25" s="14">
        <v>61344</v>
      </c>
      <c r="G25" s="14">
        <v>70898</v>
      </c>
      <c r="H25" s="14">
        <v>63930</v>
      </c>
      <c r="I25" s="14">
        <v>66288</v>
      </c>
      <c r="J25" s="14">
        <v>108949</v>
      </c>
      <c r="K25" s="14">
        <v>119437</v>
      </c>
      <c r="L25" s="14">
        <v>114301</v>
      </c>
      <c r="M25" s="14">
        <v>118658</v>
      </c>
      <c r="N25" s="16">
        <v>120143.28693</v>
      </c>
      <c r="O25" s="16">
        <v>127664.823</v>
      </c>
      <c r="P25" s="16">
        <v>135528.90205</v>
      </c>
    </row>
    <row r="26" spans="1:16">
      <c r="A26" s="10" t="s">
        <v>36</v>
      </c>
      <c r="B26" s="15">
        <v>0.286694</v>
      </c>
      <c r="C26" s="15">
        <v>0.28722300000000001</v>
      </c>
      <c r="D26" s="15">
        <v>0.30477199999999999</v>
      </c>
      <c r="E26" s="15">
        <v>0.27835399999999999</v>
      </c>
      <c r="F26" s="15">
        <v>0.26760400000000001</v>
      </c>
      <c r="G26" s="15">
        <v>0.26694000000000001</v>
      </c>
      <c r="H26" s="15">
        <v>0.24571999999999999</v>
      </c>
      <c r="I26" s="15">
        <v>0.24147299999999999</v>
      </c>
      <c r="J26" s="15">
        <v>0.297823</v>
      </c>
      <c r="K26" s="15">
        <v>0.30288700000000002</v>
      </c>
      <c r="L26" s="15">
        <v>0.29821399999999998</v>
      </c>
      <c r="M26" s="15">
        <v>0.30763800000000002</v>
      </c>
      <c r="N26" s="19">
        <v>0.30948437386599997</v>
      </c>
      <c r="O26" s="19">
        <v>0.30944419707300003</v>
      </c>
      <c r="P26" s="19">
        <v>0.31113651883999999</v>
      </c>
    </row>
    <row r="27" spans="1:16">
      <c r="A27" s="4"/>
      <c r="B27" s="4"/>
      <c r="C27" s="4"/>
      <c r="D27" s="4"/>
      <c r="E27" s="4"/>
      <c r="F27" s="4"/>
      <c r="G27" s="4"/>
      <c r="H27" s="4"/>
      <c r="I27" s="4"/>
      <c r="J27" s="4"/>
      <c r="K27" s="4"/>
      <c r="L27" s="4"/>
      <c r="M27" s="4"/>
      <c r="N27" s="4"/>
      <c r="O27" s="4"/>
      <c r="P27" s="4"/>
    </row>
    <row r="28" spans="1:16" ht="12">
      <c r="A28" s="9" t="s">
        <v>39</v>
      </c>
      <c r="B28" s="14">
        <v>37037</v>
      </c>
      <c r="C28" s="14">
        <v>39510</v>
      </c>
      <c r="D28" s="14">
        <v>53394</v>
      </c>
      <c r="E28" s="14">
        <v>45687</v>
      </c>
      <c r="F28" s="14">
        <v>48351</v>
      </c>
      <c r="G28" s="14">
        <v>59531</v>
      </c>
      <c r="H28" s="14">
        <v>55256</v>
      </c>
      <c r="I28" s="14">
        <v>57411</v>
      </c>
      <c r="J28" s="14">
        <v>94680</v>
      </c>
      <c r="K28" s="14">
        <v>99803</v>
      </c>
      <c r="L28" s="14">
        <v>96995</v>
      </c>
      <c r="M28" s="14">
        <v>100913</v>
      </c>
      <c r="N28" s="14" t="s">
        <v>35</v>
      </c>
      <c r="O28" s="14" t="s">
        <v>35</v>
      </c>
      <c r="P28" s="14" t="s">
        <v>35</v>
      </c>
    </row>
    <row r="29" spans="1:16" ht="12">
      <c r="A29" s="10" t="s">
        <v>36</v>
      </c>
      <c r="B29" s="15">
        <v>0.21670400000000001</v>
      </c>
      <c r="C29" s="15">
        <v>0.216143</v>
      </c>
      <c r="D29" s="15">
        <v>0.22845699999999999</v>
      </c>
      <c r="E29" s="15">
        <v>0.211867</v>
      </c>
      <c r="F29" s="15">
        <v>0.210924</v>
      </c>
      <c r="G29" s="15">
        <v>0.22414200000000001</v>
      </c>
      <c r="H29" s="15">
        <v>0.21238000000000001</v>
      </c>
      <c r="I29" s="15">
        <v>0.20913599999999999</v>
      </c>
      <c r="J29" s="15">
        <v>0.25881700000000002</v>
      </c>
      <c r="K29" s="15">
        <v>0.25309599999999999</v>
      </c>
      <c r="L29" s="15">
        <v>0.25306200000000001</v>
      </c>
      <c r="M29" s="15">
        <v>0.261631</v>
      </c>
      <c r="N29" s="20" t="s">
        <v>35</v>
      </c>
      <c r="O29" s="20" t="s">
        <v>35</v>
      </c>
      <c r="P29" s="20" t="s">
        <v>35</v>
      </c>
    </row>
    <row r="30" spans="1:16">
      <c r="A30" s="4"/>
      <c r="B30" s="4"/>
      <c r="C30" s="4"/>
      <c r="D30" s="4"/>
      <c r="E30" s="4"/>
      <c r="F30" s="4"/>
      <c r="G30" s="4"/>
      <c r="H30" s="4"/>
      <c r="I30" s="4"/>
      <c r="J30" s="4"/>
      <c r="K30" s="4"/>
      <c r="L30" s="4"/>
      <c r="M30" s="4"/>
      <c r="N30" s="4"/>
      <c r="O30" s="4"/>
      <c r="P30" s="4"/>
    </row>
    <row r="31" spans="1:16">
      <c r="A31" s="9" t="s">
        <v>40</v>
      </c>
      <c r="B31" s="14">
        <v>37037</v>
      </c>
      <c r="C31" s="14">
        <v>39510</v>
      </c>
      <c r="D31" s="14">
        <v>53394</v>
      </c>
      <c r="E31" s="14">
        <v>45687</v>
      </c>
      <c r="F31" s="14">
        <v>48351</v>
      </c>
      <c r="G31" s="14">
        <v>59531</v>
      </c>
      <c r="H31" s="14">
        <v>55256</v>
      </c>
      <c r="I31" s="14">
        <v>57411</v>
      </c>
      <c r="J31" s="14">
        <v>94680</v>
      </c>
      <c r="K31" s="14">
        <v>99803</v>
      </c>
      <c r="L31" s="14">
        <v>96995</v>
      </c>
      <c r="M31" s="14">
        <v>100913</v>
      </c>
      <c r="N31" s="16">
        <v>100916.94811</v>
      </c>
      <c r="O31" s="16">
        <v>107037.46825000001</v>
      </c>
      <c r="P31" s="16">
        <v>114247.86464</v>
      </c>
    </row>
    <row r="32" spans="1:16">
      <c r="A32" s="10" t="s">
        <v>36</v>
      </c>
      <c r="B32" s="15">
        <v>0.21670400000000001</v>
      </c>
      <c r="C32" s="15">
        <v>0.216143</v>
      </c>
      <c r="D32" s="15">
        <v>0.22845699999999999</v>
      </c>
      <c r="E32" s="15">
        <v>0.211867</v>
      </c>
      <c r="F32" s="15">
        <v>0.210924</v>
      </c>
      <c r="G32" s="15">
        <v>0.22414200000000001</v>
      </c>
      <c r="H32" s="15">
        <v>0.21238000000000001</v>
      </c>
      <c r="I32" s="15">
        <v>0.20913599999999999</v>
      </c>
      <c r="J32" s="15">
        <v>0.25881700000000002</v>
      </c>
      <c r="K32" s="15">
        <v>0.25309599999999999</v>
      </c>
      <c r="L32" s="15">
        <v>0.25306200000000001</v>
      </c>
      <c r="M32" s="15">
        <v>0.261631</v>
      </c>
      <c r="N32" s="19">
        <v>0.25995808252300001</v>
      </c>
      <c r="O32" s="19">
        <v>0.25944596671999998</v>
      </c>
      <c r="P32" s="19">
        <v>0.26228119870599997</v>
      </c>
    </row>
    <row r="33" spans="1:255">
      <c r="A33" s="4"/>
      <c r="B33" s="4"/>
      <c r="C33" s="4"/>
      <c r="D33" s="4"/>
      <c r="E33" s="4"/>
      <c r="F33" s="4"/>
      <c r="G33" s="4"/>
      <c r="H33" s="4"/>
      <c r="I33" s="4"/>
      <c r="J33" s="4"/>
      <c r="K33" s="4"/>
      <c r="L33" s="4"/>
      <c r="M33" s="4"/>
      <c r="N33" s="4"/>
      <c r="O33" s="4"/>
      <c r="P33" s="4"/>
    </row>
    <row r="34" spans="1:255">
      <c r="A34" s="9" t="s">
        <v>41</v>
      </c>
      <c r="B34" s="16">
        <v>1.42</v>
      </c>
      <c r="C34" s="16">
        <v>1.6125</v>
      </c>
      <c r="D34" s="16">
        <v>2.3050000000000002</v>
      </c>
      <c r="E34" s="16">
        <v>2.0775000000000001</v>
      </c>
      <c r="F34" s="16">
        <v>2.3025000000000002</v>
      </c>
      <c r="G34" s="16">
        <v>2.98</v>
      </c>
      <c r="H34" s="16">
        <v>2.97</v>
      </c>
      <c r="I34" s="16">
        <v>3.28</v>
      </c>
      <c r="J34" s="16">
        <v>5.61</v>
      </c>
      <c r="K34" s="16">
        <v>6.11</v>
      </c>
      <c r="L34" s="16">
        <v>6.13</v>
      </c>
      <c r="M34" s="16">
        <v>6.4189249999999998</v>
      </c>
      <c r="N34" s="16">
        <v>6.5631899999999996</v>
      </c>
      <c r="O34" s="16">
        <v>7.1609699999999998</v>
      </c>
      <c r="P34" s="16">
        <v>7.78477</v>
      </c>
    </row>
    <row r="35" spans="1:255">
      <c r="A35" s="10" t="s">
        <v>33</v>
      </c>
      <c r="B35" s="15">
        <v>-9.9842E-2</v>
      </c>
      <c r="C35" s="15">
        <v>0.13556299999999999</v>
      </c>
      <c r="D35" s="15">
        <v>0.42945699999999998</v>
      </c>
      <c r="E35" s="15">
        <v>-9.8698999999999995E-2</v>
      </c>
      <c r="F35" s="15">
        <v>0.108303</v>
      </c>
      <c r="G35" s="15">
        <v>0.29424499999999998</v>
      </c>
      <c r="H35" s="15">
        <v>-3.356E-3</v>
      </c>
      <c r="I35" s="15">
        <v>0.104377</v>
      </c>
      <c r="J35" s="15">
        <v>0.71036500000000002</v>
      </c>
      <c r="K35" s="15">
        <v>8.9125999999999997E-2</v>
      </c>
      <c r="L35" s="15">
        <v>3.2729999999999999E-3</v>
      </c>
      <c r="M35" s="15">
        <v>9.2921000000000004E-2</v>
      </c>
      <c r="N35" s="19">
        <v>7.0667210440000003E-2</v>
      </c>
      <c r="O35" s="19">
        <v>9.1080709228000004E-2</v>
      </c>
      <c r="P35" s="19">
        <v>8.7111103662999997E-2</v>
      </c>
    </row>
    <row r="36" spans="1:255">
      <c r="A36" s="4"/>
      <c r="B36" s="4"/>
      <c r="C36" s="4"/>
      <c r="D36" s="4"/>
      <c r="E36" s="4"/>
      <c r="F36" s="4"/>
      <c r="G36" s="4"/>
      <c r="H36" s="4"/>
      <c r="I36" s="4"/>
      <c r="J36" s="4"/>
      <c r="K36" s="4"/>
      <c r="L36" s="4"/>
      <c r="M36" s="4"/>
      <c r="N36" s="4"/>
      <c r="O36" s="4"/>
      <c r="P36" s="4"/>
    </row>
    <row r="37" spans="1:255">
      <c r="A37" s="4"/>
      <c r="B37" s="4" t="s">
        <v>42</v>
      </c>
      <c r="C37" s="4" t="s">
        <v>42</v>
      </c>
      <c r="D37" s="4" t="s">
        <v>42</v>
      </c>
      <c r="E37" s="4" t="s">
        <v>42</v>
      </c>
      <c r="F37" s="4" t="s">
        <v>42</v>
      </c>
      <c r="G37" s="4" t="s">
        <v>42</v>
      </c>
      <c r="H37" s="4" t="s">
        <v>42</v>
      </c>
      <c r="I37" s="4" t="s">
        <v>42</v>
      </c>
      <c r="J37" s="4" t="s">
        <v>42</v>
      </c>
      <c r="K37" s="4" t="s">
        <v>42</v>
      </c>
      <c r="L37" s="4" t="s">
        <v>42</v>
      </c>
      <c r="M37" s="4" t="s">
        <v>42</v>
      </c>
      <c r="N37" s="4" t="s">
        <v>42</v>
      </c>
      <c r="O37" s="4" t="s">
        <v>42</v>
      </c>
      <c r="P37" s="4" t="s">
        <v>42</v>
      </c>
    </row>
    <row r="38" spans="1:255" ht="12">
      <c r="A38" s="4" t="s">
        <v>30</v>
      </c>
      <c r="B38" s="17" t="s">
        <v>31</v>
      </c>
      <c r="C38" s="17" t="s">
        <v>31</v>
      </c>
      <c r="D38" s="17" t="s">
        <v>31</v>
      </c>
      <c r="E38" s="17" t="s">
        <v>31</v>
      </c>
      <c r="F38" s="17" t="s">
        <v>31</v>
      </c>
      <c r="G38" s="17" t="s">
        <v>31</v>
      </c>
      <c r="H38" s="17" t="s">
        <v>31</v>
      </c>
      <c r="I38" s="17" t="s">
        <v>31</v>
      </c>
      <c r="J38" s="17" t="s">
        <v>31</v>
      </c>
      <c r="K38" s="17" t="s">
        <v>31</v>
      </c>
      <c r="L38" s="17" t="s">
        <v>31</v>
      </c>
      <c r="M38" s="17" t="s">
        <v>31</v>
      </c>
      <c r="N38" s="17" t="s">
        <v>31</v>
      </c>
      <c r="O38" s="17" t="s">
        <v>31</v>
      </c>
      <c r="P38" s="17" t="s">
        <v>31</v>
      </c>
    </row>
    <row r="39" spans="1:255">
      <c r="A39" s="4" t="s">
        <v>43</v>
      </c>
      <c r="B39" s="18">
        <v>1</v>
      </c>
      <c r="C39" s="18">
        <v>1</v>
      </c>
      <c r="D39" s="18">
        <v>1</v>
      </c>
      <c r="E39" s="18">
        <v>1</v>
      </c>
      <c r="F39" s="18">
        <v>1</v>
      </c>
      <c r="G39" s="18">
        <v>1</v>
      </c>
      <c r="H39" s="18">
        <v>1</v>
      </c>
      <c r="I39" s="18">
        <v>1</v>
      </c>
      <c r="J39" s="18">
        <v>1</v>
      </c>
      <c r="K39" s="18">
        <v>1</v>
      </c>
      <c r="L39" s="18">
        <v>1</v>
      </c>
      <c r="M39" s="18">
        <v>1</v>
      </c>
      <c r="N39" s="18">
        <v>1</v>
      </c>
      <c r="O39" s="18">
        <v>1</v>
      </c>
      <c r="P39" s="18">
        <v>1</v>
      </c>
    </row>
    <row r="40" spans="1:255" ht="12">
      <c r="A40" s="4" t="s">
        <v>44</v>
      </c>
      <c r="B40" s="17" t="s">
        <v>45</v>
      </c>
      <c r="C40" s="17" t="s">
        <v>45</v>
      </c>
      <c r="D40" s="17" t="s">
        <v>45</v>
      </c>
      <c r="E40" s="17" t="s">
        <v>45</v>
      </c>
      <c r="F40" s="17" t="s">
        <v>45</v>
      </c>
      <c r="G40" s="17" t="s">
        <v>45</v>
      </c>
      <c r="H40" s="17" t="s">
        <v>45</v>
      </c>
      <c r="I40" s="17" t="s">
        <v>45</v>
      </c>
      <c r="J40" s="17" t="s">
        <v>45</v>
      </c>
      <c r="K40" s="17" t="s">
        <v>45</v>
      </c>
      <c r="L40" s="17" t="s">
        <v>45</v>
      </c>
      <c r="M40" s="17" t="s">
        <v>45</v>
      </c>
      <c r="N40" s="17" t="s">
        <v>46</v>
      </c>
      <c r="O40" s="17" t="s">
        <v>46</v>
      </c>
      <c r="P40" s="17" t="s">
        <v>46</v>
      </c>
    </row>
    <row r="41" spans="1:255">
      <c r="A41" s="11"/>
      <c r="B41" s="11"/>
      <c r="C41" s="11"/>
      <c r="D41" s="11"/>
      <c r="E41" s="11"/>
      <c r="F41" s="11"/>
      <c r="G41" s="11"/>
      <c r="H41" s="11"/>
      <c r="I41" s="11"/>
      <c r="J41" s="11"/>
      <c r="K41" s="11"/>
      <c r="L41" s="11"/>
      <c r="M41" s="11"/>
      <c r="N41" s="11"/>
      <c r="O41" s="11"/>
      <c r="P41" s="11"/>
    </row>
    <row r="42" spans="1:255">
      <c r="A42" t="s">
        <v>47</v>
      </c>
    </row>
    <row r="43" spans="1:255">
      <c r="A43" t="s">
        <v>48</v>
      </c>
    </row>
    <row r="44" spans="1:255">
      <c r="A44" t="s">
        <v>49</v>
      </c>
    </row>
    <row r="45" spans="1:255">
      <c r="A45" t="s">
        <v>50</v>
      </c>
    </row>
    <row r="46" spans="1:255">
      <c r="A46" t="s">
        <v>51</v>
      </c>
    </row>
    <row r="48" spans="1:255">
      <c r="A48" s="6" t="s">
        <v>52</v>
      </c>
      <c r="B48" s="6"/>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7"/>
      <c r="DU48" s="27"/>
      <c r="DV48" s="27"/>
      <c r="DW48" s="27"/>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c r="FA48" s="27"/>
      <c r="FB48" s="27"/>
      <c r="FC48" s="27"/>
      <c r="FD48" s="27"/>
      <c r="FE48" s="27"/>
      <c r="FF48" s="27"/>
      <c r="FG48" s="27"/>
      <c r="FH48" s="27"/>
      <c r="FI48" s="27"/>
      <c r="FJ48" s="27"/>
      <c r="FK48" s="27"/>
      <c r="FL48" s="27"/>
      <c r="FM48" s="27"/>
      <c r="FN48" s="27"/>
      <c r="FO48" s="27"/>
      <c r="FP48" s="27"/>
      <c r="FQ48" s="27"/>
      <c r="FR48" s="27"/>
      <c r="FS48" s="27"/>
      <c r="FT48" s="27"/>
      <c r="FU48" s="27"/>
      <c r="FV48" s="27"/>
      <c r="FW48" s="27"/>
      <c r="FX48" s="27"/>
      <c r="FY48" s="27"/>
      <c r="FZ48" s="27"/>
      <c r="GA48" s="27"/>
      <c r="GB48" s="27"/>
      <c r="GC48" s="27"/>
      <c r="GD48" s="27"/>
      <c r="GE48" s="27"/>
      <c r="GF48" s="27"/>
      <c r="GG48" s="27"/>
      <c r="GH48" s="27"/>
      <c r="GI48" s="27"/>
      <c r="GJ48" s="27"/>
      <c r="GK48" s="27"/>
      <c r="GL48" s="27"/>
      <c r="GM48" s="27"/>
      <c r="GN48" s="27"/>
      <c r="GO48" s="27"/>
      <c r="GP48" s="27"/>
      <c r="GQ48" s="27"/>
      <c r="GR48" s="27"/>
      <c r="GS48" s="27"/>
      <c r="GT48" s="27"/>
      <c r="GU48" s="27"/>
      <c r="GV48" s="27"/>
      <c r="GW48" s="27"/>
      <c r="GX48" s="27"/>
      <c r="GY48" s="27"/>
      <c r="GZ48" s="27"/>
      <c r="HA48" s="27"/>
      <c r="HB48" s="27"/>
      <c r="HC48" s="27"/>
      <c r="HD48" s="27"/>
      <c r="HE48" s="27"/>
      <c r="HF48" s="27"/>
      <c r="HG48" s="27"/>
      <c r="HH48" s="27"/>
      <c r="HI48" s="27"/>
      <c r="HJ48" s="27"/>
      <c r="HK48" s="27"/>
      <c r="HL48" s="27"/>
      <c r="HM48" s="27"/>
      <c r="HN48" s="27"/>
      <c r="HO48" s="27"/>
      <c r="HP48" s="27"/>
      <c r="HQ48" s="27"/>
      <c r="HR48" s="27"/>
      <c r="HS48" s="27"/>
      <c r="HT48" s="27"/>
      <c r="HU48" s="27"/>
      <c r="HV48" s="27"/>
      <c r="HW48" s="27"/>
      <c r="HX48" s="27"/>
      <c r="HY48" s="27"/>
      <c r="HZ48" s="27"/>
      <c r="IA48" s="27"/>
      <c r="IB48" s="27"/>
      <c r="IC48" s="27"/>
      <c r="ID48" s="27"/>
      <c r="IE48" s="27"/>
      <c r="IF48" s="27"/>
      <c r="IG48" s="27"/>
      <c r="IH48" s="27"/>
      <c r="II48" s="27"/>
      <c r="IJ48" s="27"/>
      <c r="IK48" s="27"/>
      <c r="IL48" s="27"/>
      <c r="IM48" s="27"/>
      <c r="IN48" s="27"/>
      <c r="IO48" s="27"/>
      <c r="IP48" s="27"/>
      <c r="IQ48" s="27"/>
      <c r="IR48" s="27"/>
      <c r="IS48" s="27"/>
      <c r="IT48" s="27"/>
      <c r="IU48" s="27"/>
    </row>
    <row r="49" spans="1:2" ht="12">
      <c r="A49" s="8" t="s">
        <v>30</v>
      </c>
      <c r="B49" s="13" t="s">
        <v>31</v>
      </c>
    </row>
    <row r="50" spans="1:2">
      <c r="A50" s="4" t="s">
        <v>53</v>
      </c>
      <c r="B50" s="21">
        <v>172.62</v>
      </c>
    </row>
    <row r="51" spans="1:2">
      <c r="A51" s="4" t="s">
        <v>54</v>
      </c>
      <c r="B51" s="18">
        <v>15441.880999999999</v>
      </c>
    </row>
    <row r="52" spans="1:2">
      <c r="A52" s="4"/>
      <c r="B52" s="4"/>
    </row>
    <row r="53" spans="1:2">
      <c r="A53" s="9" t="s">
        <v>55</v>
      </c>
      <c r="B53" s="14">
        <v>2665577.49822</v>
      </c>
    </row>
    <row r="54" spans="1:2">
      <c r="A54" s="4" t="s">
        <v>56</v>
      </c>
      <c r="B54" s="18">
        <v>73100</v>
      </c>
    </row>
    <row r="55" spans="1:2">
      <c r="A55" s="4" t="s">
        <v>57</v>
      </c>
      <c r="B55" s="18">
        <v>108040</v>
      </c>
    </row>
    <row r="56" spans="1:2" ht="12">
      <c r="A56" s="4" t="s">
        <v>58</v>
      </c>
      <c r="B56" s="18" t="s">
        <v>35</v>
      </c>
    </row>
    <row r="57" spans="1:2" ht="12">
      <c r="A57" s="4" t="s">
        <v>59</v>
      </c>
      <c r="B57" s="18" t="s">
        <v>35</v>
      </c>
    </row>
    <row r="58" spans="1:2">
      <c r="A58" s="4" t="s">
        <v>60</v>
      </c>
      <c r="B58" s="18">
        <v>99475</v>
      </c>
    </row>
    <row r="59" spans="1:2">
      <c r="A59" s="9" t="s">
        <v>61</v>
      </c>
      <c r="B59" s="14">
        <v>2601042.49822</v>
      </c>
    </row>
    <row r="60" spans="1:2">
      <c r="A60" s="4"/>
      <c r="B60" s="4"/>
    </row>
    <row r="61" spans="1:2">
      <c r="A61" s="4" t="s">
        <v>62</v>
      </c>
      <c r="B61" s="18">
        <v>74100</v>
      </c>
    </row>
    <row r="62" spans="1:2" ht="12">
      <c r="A62" s="4" t="s">
        <v>58</v>
      </c>
      <c r="B62" s="18" t="s">
        <v>35</v>
      </c>
    </row>
    <row r="63" spans="1:2" ht="12">
      <c r="A63" s="4" t="s">
        <v>59</v>
      </c>
      <c r="B63" s="18" t="s">
        <v>35</v>
      </c>
    </row>
    <row r="64" spans="1:2">
      <c r="A64" s="4" t="s">
        <v>57</v>
      </c>
      <c r="B64" s="18">
        <v>108040</v>
      </c>
    </row>
    <row r="65" spans="1:255">
      <c r="A65" s="9" t="s">
        <v>63</v>
      </c>
      <c r="B65" s="14">
        <v>182140</v>
      </c>
    </row>
    <row r="66" spans="1:255">
      <c r="A66" s="4"/>
      <c r="B66" s="4"/>
    </row>
    <row r="67" spans="1:255" ht="60">
      <c r="A67" s="11" t="s">
        <v>64</v>
      </c>
      <c r="B67" s="11"/>
    </row>
    <row r="69" spans="1:255" ht="200" customHeight="1">
      <c r="A69" s="22"/>
    </row>
    <row r="71" spans="1:255">
      <c r="A71" t="s">
        <v>65</v>
      </c>
    </row>
    <row r="72" spans="1:255">
      <c r="A72" t="s">
        <v>66</v>
      </c>
    </row>
    <row r="73" spans="1:255">
      <c r="A73" t="s">
        <v>67</v>
      </c>
    </row>
    <row r="74" spans="1:255">
      <c r="A74" t="s">
        <v>68</v>
      </c>
    </row>
    <row r="76" spans="1:255">
      <c r="A76" s="6" t="s">
        <v>69</v>
      </c>
      <c r="B76" s="6"/>
      <c r="C76" s="6"/>
      <c r="D76" s="6"/>
      <c r="E76" s="6"/>
      <c r="F76" s="6"/>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c r="CL76" s="27"/>
      <c r="CM76" s="27"/>
      <c r="CN76" s="27"/>
      <c r="CO76" s="27"/>
      <c r="CP76" s="27"/>
      <c r="CQ76" s="27"/>
      <c r="CR76" s="27"/>
      <c r="CS76" s="27"/>
      <c r="CT76" s="27"/>
      <c r="CU76" s="27"/>
      <c r="CV76" s="27"/>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7"/>
      <c r="DU76" s="27"/>
      <c r="DV76" s="27"/>
      <c r="DW76" s="27"/>
      <c r="DX76" s="27"/>
      <c r="DY76" s="27"/>
      <c r="DZ76" s="27"/>
      <c r="EA76" s="27"/>
      <c r="EB76" s="27"/>
      <c r="EC76" s="27"/>
      <c r="ED76" s="27"/>
      <c r="EE76" s="27"/>
      <c r="EF76" s="27"/>
      <c r="EG76" s="27"/>
      <c r="EH76" s="27"/>
      <c r="EI76" s="27"/>
      <c r="EJ76" s="27"/>
      <c r="EK76" s="27"/>
      <c r="EL76" s="27"/>
      <c r="EM76" s="27"/>
      <c r="EN76" s="27"/>
      <c r="EO76" s="27"/>
      <c r="EP76" s="27"/>
      <c r="EQ76" s="27"/>
      <c r="ER76" s="27"/>
      <c r="ES76" s="27"/>
      <c r="ET76" s="27"/>
      <c r="EU76" s="27"/>
      <c r="EV76" s="27"/>
      <c r="EW76" s="27"/>
      <c r="EX76" s="27"/>
      <c r="EY76" s="27"/>
      <c r="EZ76" s="27"/>
      <c r="FA76" s="27"/>
      <c r="FB76" s="27"/>
      <c r="FC76" s="27"/>
      <c r="FD76" s="27"/>
      <c r="FE76" s="27"/>
      <c r="FF76" s="27"/>
      <c r="FG76" s="27"/>
      <c r="FH76" s="27"/>
      <c r="FI76" s="27"/>
      <c r="FJ76" s="27"/>
      <c r="FK76" s="27"/>
      <c r="FL76" s="27"/>
      <c r="FM76" s="27"/>
      <c r="FN76" s="27"/>
      <c r="FO76" s="27"/>
      <c r="FP76" s="27"/>
      <c r="FQ76" s="27"/>
      <c r="FR76" s="27"/>
      <c r="FS76" s="27"/>
      <c r="FT76" s="27"/>
      <c r="FU76" s="27"/>
      <c r="FV76" s="27"/>
      <c r="FW76" s="27"/>
      <c r="FX76" s="27"/>
      <c r="FY76" s="27"/>
      <c r="FZ76" s="27"/>
      <c r="GA76" s="27"/>
      <c r="GB76" s="27"/>
      <c r="GC76" s="27"/>
      <c r="GD76" s="27"/>
      <c r="GE76" s="27"/>
      <c r="GF76" s="27"/>
      <c r="GG76" s="27"/>
      <c r="GH76" s="27"/>
      <c r="GI76" s="27"/>
      <c r="GJ76" s="27"/>
      <c r="GK76" s="27"/>
      <c r="GL76" s="27"/>
      <c r="GM76" s="27"/>
      <c r="GN76" s="27"/>
      <c r="GO76" s="27"/>
      <c r="GP76" s="27"/>
      <c r="GQ76" s="27"/>
      <c r="GR76" s="27"/>
      <c r="GS76" s="27"/>
      <c r="GT76" s="27"/>
      <c r="GU76" s="27"/>
      <c r="GV76" s="27"/>
      <c r="GW76" s="27"/>
      <c r="GX76" s="27"/>
      <c r="GY76" s="27"/>
      <c r="GZ76" s="27"/>
      <c r="HA76" s="27"/>
      <c r="HB76" s="27"/>
      <c r="HC76" s="27"/>
      <c r="HD76" s="27"/>
      <c r="HE76" s="27"/>
      <c r="HF76" s="27"/>
      <c r="HG76" s="27"/>
      <c r="HH76" s="27"/>
      <c r="HI76" s="27"/>
      <c r="HJ76" s="27"/>
      <c r="HK76" s="27"/>
      <c r="HL76" s="27"/>
      <c r="HM76" s="27"/>
      <c r="HN76" s="27"/>
      <c r="HO76" s="27"/>
      <c r="HP76" s="27"/>
      <c r="HQ76" s="27"/>
      <c r="HR76" s="27"/>
      <c r="HS76" s="27"/>
      <c r="HT76" s="27"/>
      <c r="HU76" s="27"/>
      <c r="HV76" s="27"/>
      <c r="HW76" s="27"/>
      <c r="HX76" s="27"/>
      <c r="HY76" s="27"/>
      <c r="HZ76" s="27"/>
      <c r="IA76" s="27"/>
      <c r="IB76" s="27"/>
      <c r="IC76" s="27"/>
      <c r="ID76" s="27"/>
      <c r="IE76" s="27"/>
      <c r="IF76" s="27"/>
      <c r="IG76" s="27"/>
      <c r="IH76" s="27"/>
      <c r="II76" s="27"/>
      <c r="IJ76" s="27"/>
      <c r="IK76" s="27"/>
      <c r="IL76" s="27"/>
      <c r="IM76" s="27"/>
      <c r="IN76" s="27"/>
      <c r="IO76" s="27"/>
      <c r="IP76" s="27"/>
      <c r="IQ76" s="27"/>
      <c r="IR76" s="27"/>
      <c r="IS76" s="27"/>
      <c r="IT76" s="27"/>
      <c r="IU76" s="27"/>
    </row>
    <row r="77" spans="1:255" ht="36">
      <c r="A77" s="7" t="s">
        <v>16</v>
      </c>
      <c r="B77" s="12" t="s">
        <v>27</v>
      </c>
      <c r="C77" s="12" t="s">
        <v>70</v>
      </c>
      <c r="D77" s="12" t="s">
        <v>71</v>
      </c>
      <c r="E77" s="12" t="s">
        <v>72</v>
      </c>
      <c r="F77" s="12" t="s">
        <v>73</v>
      </c>
    </row>
    <row r="78" spans="1:255">
      <c r="A78" s="9" t="s">
        <v>74</v>
      </c>
      <c r="B78" s="23">
        <v>6.8549730000000002</v>
      </c>
      <c r="C78" s="23">
        <v>6.7435879999999999</v>
      </c>
      <c r="D78" s="24">
        <v>6.7001830025700002</v>
      </c>
      <c r="E78" s="24">
        <v>6.3046146033039996</v>
      </c>
      <c r="F78" s="24">
        <v>5.97126735339</v>
      </c>
    </row>
    <row r="79" spans="1:255">
      <c r="A79" s="4"/>
      <c r="B79" s="4"/>
      <c r="C79" s="4"/>
      <c r="D79" s="4"/>
      <c r="E79" s="4"/>
      <c r="F79" s="4"/>
    </row>
    <row r="80" spans="1:255">
      <c r="A80" s="9" t="s">
        <v>75</v>
      </c>
      <c r="B80" s="23">
        <v>18.539432999999999</v>
      </c>
      <c r="C80" s="23">
        <v>17.814260999999998</v>
      </c>
      <c r="D80" s="24">
        <v>19.669645161942</v>
      </c>
      <c r="E80" s="24">
        <v>18.439282549554999</v>
      </c>
      <c r="F80" s="24">
        <v>17.458880444135001</v>
      </c>
    </row>
    <row r="81" spans="1:6">
      <c r="A81" s="4"/>
      <c r="B81" s="4"/>
      <c r="C81" s="4"/>
      <c r="D81" s="4"/>
      <c r="E81" s="4"/>
      <c r="F81" s="4"/>
    </row>
    <row r="82" spans="1:6">
      <c r="A82" s="9" t="s">
        <v>76</v>
      </c>
      <c r="B82" s="23">
        <v>22.986749</v>
      </c>
      <c r="C82" s="23">
        <v>21.920497999999998</v>
      </c>
      <c r="D82" s="24">
        <v>21.649503394522</v>
      </c>
      <c r="E82" s="24">
        <v>20.373995256469001</v>
      </c>
      <c r="F82" s="24">
        <v>19.19179200065</v>
      </c>
    </row>
    <row r="83" spans="1:6">
      <c r="A83" s="4"/>
      <c r="B83" s="4"/>
      <c r="C83" s="4"/>
      <c r="D83" s="4"/>
      <c r="E83" s="4"/>
      <c r="F83" s="4"/>
    </row>
    <row r="84" spans="1:6">
      <c r="A84" s="9" t="s">
        <v>77</v>
      </c>
      <c r="B84" s="23">
        <v>28.159869</v>
      </c>
      <c r="C84" s="23">
        <v>26.892353</v>
      </c>
      <c r="D84" s="24">
        <v>26.301234613045999</v>
      </c>
      <c r="E84" s="24">
        <v>24.105672834825</v>
      </c>
      <c r="F84" s="24">
        <v>22.174065515102001</v>
      </c>
    </row>
    <row r="85" spans="1:6">
      <c r="A85" s="4"/>
      <c r="B85" s="4"/>
      <c r="C85" s="4"/>
      <c r="D85" s="4"/>
      <c r="E85" s="4"/>
      <c r="F85" s="4"/>
    </row>
    <row r="86" spans="1:6">
      <c r="A86" s="9" t="s">
        <v>78</v>
      </c>
      <c r="B86" s="23">
        <v>43.192673999999997</v>
      </c>
      <c r="C86" s="23">
        <v>36.015434999999997</v>
      </c>
      <c r="D86" s="24">
        <v>35.972317444969001</v>
      </c>
      <c r="E86" s="24">
        <v>32.472271967974997</v>
      </c>
      <c r="F86" s="24">
        <v>24.270186138915001</v>
      </c>
    </row>
    <row r="87" spans="1:6">
      <c r="A87" s="4"/>
      <c r="B87" s="4"/>
      <c r="C87" s="4"/>
      <c r="D87" s="4"/>
      <c r="E87" s="4"/>
      <c r="F87" s="4"/>
    </row>
    <row r="88" spans="1:6" ht="12">
      <c r="A88" s="9" t="s">
        <v>79</v>
      </c>
      <c r="B88" s="23">
        <v>43.192673999999997</v>
      </c>
      <c r="C88" s="23">
        <v>36.015434999999997</v>
      </c>
      <c r="D88" s="17" t="s">
        <v>35</v>
      </c>
      <c r="E88" s="17" t="s">
        <v>35</v>
      </c>
      <c r="F88" s="17" t="s">
        <v>35</v>
      </c>
    </row>
    <row r="89" spans="1:6">
      <c r="A89" s="4"/>
      <c r="B89" s="4"/>
      <c r="C89" s="4"/>
      <c r="D89" s="4"/>
      <c r="E89" s="4"/>
      <c r="F89" s="4"/>
    </row>
    <row r="90" spans="1:6">
      <c r="A90" s="11"/>
      <c r="B90" s="11"/>
      <c r="C90" s="11"/>
      <c r="D90" s="11"/>
      <c r="E90" s="11"/>
      <c r="F90" s="11"/>
    </row>
    <row r="91" spans="1:6">
      <c r="A91" s="25" t="s">
        <v>727</v>
      </c>
      <c r="B91" t="s">
        <v>728</v>
      </c>
    </row>
    <row r="92" spans="1:6">
      <c r="A92" s="174">
        <v>44925</v>
      </c>
      <c r="B92">
        <v>129.04</v>
      </c>
    </row>
    <row r="93" spans="1:6">
      <c r="A93" s="174">
        <v>45289</v>
      </c>
      <c r="B93">
        <v>192.28</v>
      </c>
    </row>
    <row r="94" spans="1:6">
      <c r="A94" t="s">
        <v>729</v>
      </c>
      <c r="B94" s="175">
        <f>B93/B92-1</f>
        <v>0.49008059516429014</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autoPageBreaks="0"/>
  </sheetPr>
  <dimension ref="A5:IT152"/>
  <sheetViews>
    <sheetView topLeftCell="A12" zoomScaleNormal="100" workbookViewId="0">
      <pane xSplit="1" ySplit="5" topLeftCell="B69" activePane="bottomRight" state="frozen"/>
      <selection activeCell="A12" sqref="A12"/>
      <selection pane="topRight" activeCell="B12" sqref="B12"/>
      <selection pane="bottomLeft" activeCell="A17" sqref="A17"/>
      <selection pane="bottomRight" activeCell="L92" sqref="L92"/>
    </sheetView>
  </sheetViews>
  <sheetFormatPr baseColWidth="10" defaultRowHeight="16"/>
  <cols>
    <col min="1" max="1" width="45.83203125" style="29" customWidth="1"/>
    <col min="2" max="13" width="14.83203125" style="29" customWidth="1"/>
    <col min="14" max="15" width="9.33203125" style="29" customWidth="1"/>
    <col min="16" max="16" width="12.33203125" style="29" bestFit="1" customWidth="1"/>
    <col min="17" max="256" width="8.83203125" style="29" customWidth="1"/>
    <col min="257" max="16384" width="10.83203125" style="29"/>
  </cols>
  <sheetData>
    <row r="5" spans="1:254">
      <c r="A5" s="60" t="s">
        <v>81</v>
      </c>
    </row>
    <row r="7" spans="1:254" ht="34">
      <c r="A7" s="61" t="s">
        <v>82</v>
      </c>
      <c r="B7" s="36" t="s">
        <v>83</v>
      </c>
      <c r="C7" s="29" t="s">
        <v>84</v>
      </c>
      <c r="D7" s="62" t="s">
        <v>4</v>
      </c>
      <c r="E7" s="36" t="s">
        <v>85</v>
      </c>
      <c r="F7" s="29" t="s">
        <v>86</v>
      </c>
    </row>
    <row r="8" spans="1:254">
      <c r="A8" s="62"/>
      <c r="B8" s="36" t="s">
        <v>87</v>
      </c>
      <c r="C8" s="29" t="s">
        <v>88</v>
      </c>
      <c r="D8" s="62" t="s">
        <v>4</v>
      </c>
      <c r="E8" s="36" t="s">
        <v>89</v>
      </c>
      <c r="F8" s="29" t="s">
        <v>8</v>
      </c>
    </row>
    <row r="9" spans="1:254">
      <c r="A9" s="62"/>
      <c r="B9" s="36" t="s">
        <v>90</v>
      </c>
      <c r="C9" s="29" t="s">
        <v>91</v>
      </c>
      <c r="D9" s="62" t="s">
        <v>4</v>
      </c>
      <c r="E9" s="36" t="s">
        <v>92</v>
      </c>
      <c r="F9" s="29" t="s">
        <v>6</v>
      </c>
    </row>
    <row r="10" spans="1:254">
      <c r="A10" s="62"/>
      <c r="B10" s="36" t="s">
        <v>93</v>
      </c>
      <c r="C10" s="29" t="s">
        <v>10</v>
      </c>
      <c r="D10" s="62" t="s">
        <v>4</v>
      </c>
      <c r="E10" s="36" t="s">
        <v>94</v>
      </c>
      <c r="F10" s="63" t="s">
        <v>12</v>
      </c>
    </row>
    <row r="11" spans="1:254">
      <c r="A11" s="62"/>
      <c r="B11" s="36" t="s">
        <v>95</v>
      </c>
      <c r="C11" s="29" t="s">
        <v>96</v>
      </c>
      <c r="D11" s="62" t="s">
        <v>4</v>
      </c>
      <c r="E11" s="64"/>
      <c r="F11" s="64"/>
    </row>
    <row r="14" spans="1:254">
      <c r="A14" s="65" t="s">
        <v>97</v>
      </c>
      <c r="B14" s="65"/>
      <c r="C14" s="65"/>
      <c r="D14" s="65"/>
      <c r="E14" s="65"/>
      <c r="F14" s="65"/>
      <c r="G14" s="65"/>
      <c r="H14" s="65"/>
      <c r="I14" s="65"/>
      <c r="J14" s="65"/>
      <c r="K14" s="65"/>
      <c r="L14" s="65"/>
      <c r="M14" s="65"/>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c r="DQ14" s="66"/>
      <c r="DR14" s="66"/>
      <c r="DS14" s="66"/>
      <c r="DT14" s="66"/>
      <c r="DU14" s="66"/>
      <c r="DV14" s="66"/>
      <c r="DW14" s="66"/>
      <c r="DX14" s="66"/>
      <c r="DY14" s="66"/>
      <c r="DZ14" s="66"/>
      <c r="EA14" s="66"/>
      <c r="EB14" s="66"/>
      <c r="EC14" s="66"/>
      <c r="ED14" s="66"/>
      <c r="EE14" s="66"/>
      <c r="EF14" s="66"/>
      <c r="EG14" s="66"/>
      <c r="EH14" s="66"/>
      <c r="EI14" s="66"/>
      <c r="EJ14" s="66"/>
      <c r="EK14" s="66"/>
      <c r="EL14" s="66"/>
      <c r="EM14" s="66"/>
      <c r="EN14" s="66"/>
      <c r="EO14" s="66"/>
      <c r="EP14" s="66"/>
      <c r="EQ14" s="66"/>
      <c r="ER14" s="66"/>
      <c r="ES14" s="66"/>
      <c r="ET14" s="66"/>
      <c r="EU14" s="66"/>
      <c r="EV14" s="66"/>
      <c r="EW14" s="66"/>
      <c r="EX14" s="66"/>
      <c r="EY14" s="66"/>
      <c r="EZ14" s="66"/>
      <c r="FA14" s="66"/>
      <c r="FB14" s="66"/>
      <c r="FC14" s="66"/>
      <c r="FD14" s="66"/>
      <c r="FE14" s="66"/>
      <c r="FF14" s="66"/>
      <c r="FG14" s="66"/>
      <c r="FH14" s="66"/>
      <c r="FI14" s="66"/>
      <c r="FJ14" s="66"/>
      <c r="FK14" s="66"/>
      <c r="FL14" s="66"/>
      <c r="FM14" s="66"/>
      <c r="FN14" s="66"/>
      <c r="FO14" s="66"/>
      <c r="FP14" s="66"/>
      <c r="FQ14" s="66"/>
      <c r="FR14" s="66"/>
      <c r="FS14" s="66"/>
      <c r="FT14" s="66"/>
      <c r="FU14" s="66"/>
      <c r="FV14" s="66"/>
      <c r="FW14" s="66"/>
      <c r="FX14" s="66"/>
      <c r="FY14" s="66"/>
      <c r="FZ14" s="66"/>
      <c r="GA14" s="66"/>
      <c r="GB14" s="66"/>
      <c r="GC14" s="66"/>
      <c r="GD14" s="66"/>
      <c r="GE14" s="66"/>
      <c r="GF14" s="66"/>
      <c r="GG14" s="66"/>
      <c r="GH14" s="66"/>
      <c r="GI14" s="66"/>
      <c r="GJ14" s="66"/>
      <c r="GK14" s="66"/>
      <c r="GL14" s="66"/>
      <c r="GM14" s="66"/>
      <c r="GN14" s="66"/>
      <c r="GO14" s="66"/>
      <c r="GP14" s="66"/>
      <c r="GQ14" s="66"/>
      <c r="GR14" s="66"/>
      <c r="GS14" s="66"/>
      <c r="GT14" s="66"/>
      <c r="GU14" s="66"/>
      <c r="GV14" s="66"/>
      <c r="GW14" s="66"/>
      <c r="GX14" s="66"/>
      <c r="GY14" s="66"/>
      <c r="GZ14" s="66"/>
      <c r="HA14" s="66"/>
      <c r="HB14" s="66"/>
      <c r="HC14" s="66"/>
      <c r="HD14" s="66"/>
      <c r="HE14" s="66"/>
      <c r="HF14" s="66"/>
      <c r="HG14" s="66"/>
      <c r="HH14" s="66"/>
      <c r="HI14" s="66"/>
      <c r="HJ14" s="66"/>
      <c r="HK14" s="66"/>
      <c r="HL14" s="66"/>
      <c r="HM14" s="66"/>
      <c r="HN14" s="66"/>
      <c r="HO14" s="66"/>
      <c r="HP14" s="66"/>
      <c r="HQ14" s="66"/>
      <c r="HR14" s="66"/>
      <c r="HS14" s="66"/>
      <c r="HT14" s="66"/>
      <c r="HU14" s="66"/>
      <c r="HV14" s="66"/>
      <c r="HW14" s="66"/>
      <c r="HX14" s="66"/>
      <c r="HY14" s="66"/>
      <c r="HZ14" s="66"/>
      <c r="IA14" s="66"/>
      <c r="IB14" s="66"/>
      <c r="IC14" s="66"/>
      <c r="ID14" s="66"/>
      <c r="IE14" s="66"/>
      <c r="IF14" s="66"/>
      <c r="IG14" s="66"/>
      <c r="IH14" s="66"/>
      <c r="II14" s="66"/>
      <c r="IJ14" s="66"/>
      <c r="IK14" s="66"/>
      <c r="IL14" s="66"/>
      <c r="IM14" s="66"/>
      <c r="IN14" s="66"/>
      <c r="IO14" s="66"/>
      <c r="IP14" s="66"/>
      <c r="IQ14" s="66"/>
      <c r="IR14" s="66"/>
      <c r="IS14" s="66"/>
      <c r="IT14" s="66"/>
    </row>
    <row r="15" spans="1:254" ht="51">
      <c r="A15" s="67" t="s">
        <v>16</v>
      </c>
      <c r="B15" s="68" t="s">
        <v>98</v>
      </c>
      <c r="C15" s="68" t="s">
        <v>99</v>
      </c>
      <c r="D15" s="68" t="s">
        <v>100</v>
      </c>
      <c r="E15" s="68" t="s">
        <v>101</v>
      </c>
      <c r="F15" s="68" t="s">
        <v>102</v>
      </c>
      <c r="G15" s="68" t="s">
        <v>103</v>
      </c>
      <c r="H15" s="68" t="s">
        <v>104</v>
      </c>
      <c r="I15" s="68" t="s">
        <v>105</v>
      </c>
      <c r="J15" s="68" t="s">
        <v>106</v>
      </c>
      <c r="K15" s="68" t="s">
        <v>107</v>
      </c>
      <c r="L15" s="68" t="s">
        <v>108</v>
      </c>
      <c r="M15" s="68" t="s">
        <v>109</v>
      </c>
    </row>
    <row r="16" spans="1:254" ht="17">
      <c r="A16" s="69" t="s">
        <v>30</v>
      </c>
      <c r="B16" s="70" t="s">
        <v>31</v>
      </c>
      <c r="C16" s="70" t="s">
        <v>31</v>
      </c>
      <c r="D16" s="70" t="s">
        <v>31</v>
      </c>
      <c r="E16" s="70" t="s">
        <v>31</v>
      </c>
      <c r="F16" s="70" t="s">
        <v>31</v>
      </c>
      <c r="G16" s="70" t="s">
        <v>31</v>
      </c>
      <c r="H16" s="70" t="s">
        <v>31</v>
      </c>
      <c r="I16" s="70" t="s">
        <v>31</v>
      </c>
      <c r="J16" s="70" t="s">
        <v>31</v>
      </c>
      <c r="K16" s="70" t="s">
        <v>31</v>
      </c>
      <c r="L16" s="70" t="s">
        <v>31</v>
      </c>
      <c r="M16" s="70" t="s">
        <v>31</v>
      </c>
    </row>
    <row r="17" spans="1:16">
      <c r="A17" s="71" t="s">
        <v>42</v>
      </c>
      <c r="B17" s="62"/>
      <c r="C17" s="62"/>
      <c r="D17" s="62"/>
      <c r="E17" s="62"/>
      <c r="F17" s="62"/>
      <c r="G17" s="62"/>
      <c r="H17" s="62"/>
      <c r="I17" s="62"/>
      <c r="J17" s="62"/>
      <c r="K17" s="62"/>
      <c r="L17" s="62"/>
      <c r="M17" s="62"/>
    </row>
    <row r="18" spans="1:16">
      <c r="A18" s="62" t="s">
        <v>110</v>
      </c>
      <c r="B18" s="72">
        <v>170910</v>
      </c>
      <c r="C18" s="72">
        <v>182795</v>
      </c>
      <c r="D18" s="72">
        <v>233715</v>
      </c>
      <c r="E18" s="72">
        <v>215639</v>
      </c>
      <c r="F18" s="72">
        <v>229234</v>
      </c>
      <c r="G18" s="72">
        <v>265595</v>
      </c>
      <c r="H18" s="72">
        <v>260174</v>
      </c>
      <c r="I18" s="72">
        <v>274515</v>
      </c>
      <c r="J18" s="72">
        <v>365817</v>
      </c>
      <c r="K18" s="72">
        <v>394328</v>
      </c>
      <c r="L18" s="72">
        <v>383285</v>
      </c>
      <c r="M18" s="72">
        <v>385706</v>
      </c>
    </row>
    <row r="19" spans="1:16" ht="17">
      <c r="A19" s="73" t="s">
        <v>111</v>
      </c>
      <c r="B19" s="74">
        <v>170910</v>
      </c>
      <c r="C19" s="74">
        <v>182795</v>
      </c>
      <c r="D19" s="74">
        <v>233715</v>
      </c>
      <c r="E19" s="74">
        <v>215639</v>
      </c>
      <c r="F19" s="74" t="s">
        <v>35</v>
      </c>
      <c r="G19" s="74" t="s">
        <v>35</v>
      </c>
      <c r="H19" s="74" t="s">
        <v>35</v>
      </c>
      <c r="I19" s="74" t="s">
        <v>35</v>
      </c>
      <c r="J19" s="74" t="s">
        <v>35</v>
      </c>
      <c r="K19" s="74" t="s">
        <v>35</v>
      </c>
      <c r="L19" s="74" t="s">
        <v>35</v>
      </c>
      <c r="M19" s="74" t="s">
        <v>35</v>
      </c>
    </row>
    <row r="20" spans="1:16" ht="17">
      <c r="A20" s="73" t="s">
        <v>112</v>
      </c>
      <c r="B20" s="74" t="s">
        <v>35</v>
      </c>
      <c r="C20" s="74" t="s">
        <v>35</v>
      </c>
      <c r="D20" s="74" t="s">
        <v>35</v>
      </c>
      <c r="E20" s="74" t="s">
        <v>35</v>
      </c>
      <c r="F20" s="74">
        <v>32700</v>
      </c>
      <c r="G20" s="74">
        <v>39748</v>
      </c>
      <c r="H20" s="74">
        <v>46291</v>
      </c>
      <c r="I20" s="74">
        <v>53768</v>
      </c>
      <c r="J20" s="74">
        <v>68425</v>
      </c>
      <c r="K20" s="74">
        <v>78129</v>
      </c>
      <c r="L20" s="74">
        <v>85200</v>
      </c>
      <c r="M20" s="74" t="s">
        <v>35</v>
      </c>
    </row>
    <row r="21" spans="1:16" ht="17">
      <c r="A21" s="73" t="s">
        <v>113</v>
      </c>
      <c r="B21" s="74" t="s">
        <v>35</v>
      </c>
      <c r="C21" s="74" t="s">
        <v>35</v>
      </c>
      <c r="D21" s="74" t="s">
        <v>35</v>
      </c>
      <c r="E21" s="74" t="s">
        <v>35</v>
      </c>
      <c r="F21" s="74">
        <v>196534</v>
      </c>
      <c r="G21" s="74">
        <v>225847</v>
      </c>
      <c r="H21" s="74">
        <v>213883</v>
      </c>
      <c r="I21" s="74">
        <v>220747</v>
      </c>
      <c r="J21" s="74">
        <v>297392</v>
      </c>
      <c r="K21" s="74">
        <v>316199</v>
      </c>
      <c r="L21" s="74">
        <v>298085</v>
      </c>
      <c r="M21" s="74" t="s">
        <v>35</v>
      </c>
    </row>
    <row r="22" spans="1:16" ht="17">
      <c r="A22" s="62" t="s">
        <v>114</v>
      </c>
      <c r="B22" s="72" t="s">
        <v>35</v>
      </c>
      <c r="C22" s="72" t="s">
        <v>35</v>
      </c>
      <c r="D22" s="72" t="s">
        <v>35</v>
      </c>
      <c r="E22" s="72" t="s">
        <v>35</v>
      </c>
      <c r="F22" s="72" t="s">
        <v>35</v>
      </c>
      <c r="G22" s="72" t="s">
        <v>35</v>
      </c>
      <c r="H22" s="72" t="s">
        <v>35</v>
      </c>
      <c r="I22" s="72" t="s">
        <v>35</v>
      </c>
      <c r="J22" s="72" t="s">
        <v>35</v>
      </c>
      <c r="K22" s="72" t="s">
        <v>35</v>
      </c>
      <c r="L22" s="72" t="s">
        <v>35</v>
      </c>
      <c r="M22" s="72" t="s">
        <v>35</v>
      </c>
    </row>
    <row r="23" spans="1:16">
      <c r="A23" s="71" t="s">
        <v>115</v>
      </c>
      <c r="B23" s="75">
        <v>170910</v>
      </c>
      <c r="C23" s="75">
        <v>182795</v>
      </c>
      <c r="D23" s="75">
        <v>233715</v>
      </c>
      <c r="E23" s="75">
        <v>215639</v>
      </c>
      <c r="F23" s="75">
        <v>229234</v>
      </c>
      <c r="G23" s="75">
        <v>265595</v>
      </c>
      <c r="H23" s="75">
        <v>260174</v>
      </c>
      <c r="I23" s="75">
        <v>274515</v>
      </c>
      <c r="J23" s="75">
        <v>365817</v>
      </c>
      <c r="K23" s="75">
        <v>394328</v>
      </c>
      <c r="L23" s="75">
        <v>383285</v>
      </c>
      <c r="M23" s="75">
        <v>385706</v>
      </c>
    </row>
    <row r="24" spans="1:16">
      <c r="A24" s="62"/>
      <c r="B24" s="62"/>
      <c r="C24" s="62"/>
      <c r="D24" s="62"/>
      <c r="E24" s="62"/>
      <c r="F24" s="62"/>
      <c r="G24" s="62"/>
      <c r="H24" s="62"/>
      <c r="I24" s="62"/>
      <c r="J24" s="62"/>
      <c r="K24" s="62"/>
      <c r="L24" s="62"/>
      <c r="M24" s="62"/>
    </row>
    <row r="25" spans="1:16">
      <c r="A25" s="62" t="s">
        <v>116</v>
      </c>
      <c r="B25" s="72">
        <v>106606</v>
      </c>
      <c r="C25" s="72">
        <v>112258</v>
      </c>
      <c r="D25" s="72">
        <v>140089</v>
      </c>
      <c r="E25" s="72">
        <v>131376</v>
      </c>
      <c r="F25" s="72">
        <v>141048</v>
      </c>
      <c r="G25" s="72">
        <v>163756</v>
      </c>
      <c r="H25" s="72">
        <v>161782</v>
      </c>
      <c r="I25" s="72">
        <v>169559</v>
      </c>
      <c r="J25" s="72">
        <v>212981</v>
      </c>
      <c r="K25" s="72">
        <v>223546</v>
      </c>
      <c r="L25" s="72">
        <v>214137</v>
      </c>
      <c r="M25" s="72">
        <v>212035</v>
      </c>
    </row>
    <row r="26" spans="1:16" ht="17">
      <c r="A26" s="73" t="s">
        <v>117</v>
      </c>
      <c r="B26" s="74" t="s">
        <v>35</v>
      </c>
      <c r="C26" s="74" t="s">
        <v>35</v>
      </c>
      <c r="D26" s="74" t="s">
        <v>35</v>
      </c>
      <c r="E26" s="74" t="s">
        <v>35</v>
      </c>
      <c r="F26" s="74">
        <v>14711</v>
      </c>
      <c r="G26" s="74">
        <v>15592</v>
      </c>
      <c r="H26" s="74">
        <v>16786</v>
      </c>
      <c r="I26" s="74">
        <v>18273</v>
      </c>
      <c r="J26" s="74">
        <v>20715</v>
      </c>
      <c r="K26" s="74">
        <v>22075</v>
      </c>
      <c r="L26" s="74">
        <v>24855</v>
      </c>
      <c r="M26" s="74" t="s">
        <v>35</v>
      </c>
    </row>
    <row r="27" spans="1:16" ht="17">
      <c r="A27" s="73" t="s">
        <v>118</v>
      </c>
      <c r="B27" s="74" t="s">
        <v>35</v>
      </c>
      <c r="C27" s="74" t="s">
        <v>35</v>
      </c>
      <c r="D27" s="74" t="s">
        <v>35</v>
      </c>
      <c r="E27" s="74" t="s">
        <v>35</v>
      </c>
      <c r="F27" s="74">
        <v>126337</v>
      </c>
      <c r="G27" s="74">
        <v>148164</v>
      </c>
      <c r="H27" s="74">
        <v>144996</v>
      </c>
      <c r="I27" s="74">
        <v>151286</v>
      </c>
      <c r="J27" s="74">
        <v>192266</v>
      </c>
      <c r="K27" s="74">
        <v>201471</v>
      </c>
      <c r="L27" s="74">
        <v>189282</v>
      </c>
      <c r="M27" s="74" t="s">
        <v>35</v>
      </c>
    </row>
    <row r="28" spans="1:16" ht="17">
      <c r="A28" s="73" t="s">
        <v>119</v>
      </c>
      <c r="B28" s="74">
        <v>106606</v>
      </c>
      <c r="C28" s="74">
        <v>112258</v>
      </c>
      <c r="D28" s="74">
        <v>140089</v>
      </c>
      <c r="E28" s="74">
        <v>131376</v>
      </c>
      <c r="F28" s="74" t="s">
        <v>35</v>
      </c>
      <c r="G28" s="74" t="s">
        <v>35</v>
      </c>
      <c r="H28" s="74" t="s">
        <v>35</v>
      </c>
      <c r="I28" s="74" t="s">
        <v>35</v>
      </c>
      <c r="J28" s="74" t="s">
        <v>35</v>
      </c>
      <c r="K28" s="74" t="s">
        <v>35</v>
      </c>
      <c r="L28" s="74" t="s">
        <v>35</v>
      </c>
      <c r="M28" s="74" t="s">
        <v>35</v>
      </c>
    </row>
    <row r="29" spans="1:16" ht="17">
      <c r="A29" s="73" t="s">
        <v>120</v>
      </c>
      <c r="B29" s="74">
        <v>350</v>
      </c>
      <c r="C29" s="74">
        <v>450</v>
      </c>
      <c r="D29" s="74">
        <v>575</v>
      </c>
      <c r="E29" s="74">
        <v>769</v>
      </c>
      <c r="F29" s="74" t="s">
        <v>35</v>
      </c>
      <c r="G29" s="74" t="s">
        <v>35</v>
      </c>
      <c r="H29" s="74" t="s">
        <v>35</v>
      </c>
      <c r="I29" s="74" t="s">
        <v>35</v>
      </c>
      <c r="J29" s="74" t="s">
        <v>35</v>
      </c>
      <c r="K29" s="74" t="s">
        <v>35</v>
      </c>
      <c r="L29" s="74" t="s">
        <v>35</v>
      </c>
      <c r="M29" s="74" t="s">
        <v>35</v>
      </c>
    </row>
    <row r="30" spans="1:16" ht="17">
      <c r="A30" s="73" t="s">
        <v>121</v>
      </c>
      <c r="B30" s="74">
        <v>350</v>
      </c>
      <c r="C30" s="74">
        <v>450</v>
      </c>
      <c r="D30" s="74">
        <v>575</v>
      </c>
      <c r="E30" s="74">
        <v>769</v>
      </c>
      <c r="F30" s="74" t="s">
        <v>35</v>
      </c>
      <c r="G30" s="74" t="s">
        <v>35</v>
      </c>
      <c r="H30" s="74" t="s">
        <v>35</v>
      </c>
      <c r="I30" s="74" t="s">
        <v>35</v>
      </c>
      <c r="J30" s="74" t="s">
        <v>35</v>
      </c>
      <c r="K30" s="74" t="s">
        <v>35</v>
      </c>
      <c r="L30" s="74" t="s">
        <v>35</v>
      </c>
      <c r="M30" s="74" t="s">
        <v>35</v>
      </c>
    </row>
    <row r="31" spans="1:16">
      <c r="A31" s="71" t="s">
        <v>122</v>
      </c>
      <c r="B31" s="75">
        <v>64304</v>
      </c>
      <c r="C31" s="75">
        <v>70537</v>
      </c>
      <c r="D31" s="75">
        <v>93626</v>
      </c>
      <c r="E31" s="75">
        <v>84263</v>
      </c>
      <c r="F31" s="75">
        <v>88186</v>
      </c>
      <c r="G31" s="75">
        <v>101839</v>
      </c>
      <c r="H31" s="75">
        <v>98392</v>
      </c>
      <c r="I31" s="75">
        <v>104956</v>
      </c>
      <c r="J31" s="75">
        <v>152836</v>
      </c>
      <c r="K31" s="75">
        <v>170782</v>
      </c>
      <c r="L31" s="75">
        <v>169148</v>
      </c>
      <c r="M31" s="75">
        <v>173671</v>
      </c>
    </row>
    <row r="32" spans="1:16">
      <c r="A32" s="71"/>
      <c r="B32" s="76"/>
      <c r="C32" s="76"/>
      <c r="D32" s="76"/>
      <c r="E32" s="76"/>
      <c r="F32" s="76"/>
      <c r="G32" s="76"/>
      <c r="H32" s="76"/>
      <c r="I32" s="76"/>
      <c r="J32" s="76"/>
      <c r="K32" s="76"/>
      <c r="L32" s="76"/>
      <c r="M32" s="76"/>
      <c r="O32" s="29" t="s">
        <v>597</v>
      </c>
      <c r="P32" s="29" t="s">
        <v>628</v>
      </c>
    </row>
    <row r="33" spans="1:16">
      <c r="A33" s="116" t="s">
        <v>612</v>
      </c>
      <c r="B33" s="117"/>
      <c r="C33" s="117"/>
      <c r="D33" s="117"/>
      <c r="E33" s="117"/>
      <c r="F33" s="117">
        <f t="shared" ref="F33" si="0">(F21-F27)/F21</f>
        <v>0.35717483997679789</v>
      </c>
      <c r="G33" s="117">
        <f>(G21-G27)/G21</f>
        <v>0.34396294836770025</v>
      </c>
      <c r="H33" s="117">
        <f t="shared" ref="H33:L33" si="1">(H21-H27)/H21</f>
        <v>0.32207795851002652</v>
      </c>
      <c r="I33" s="117">
        <f t="shared" si="1"/>
        <v>0.31466339293399231</v>
      </c>
      <c r="J33" s="117">
        <f t="shared" si="1"/>
        <v>0.35349303276483562</v>
      </c>
      <c r="K33" s="117">
        <f t="shared" si="1"/>
        <v>0.36283479707399452</v>
      </c>
      <c r="L33" s="117">
        <f t="shared" si="1"/>
        <v>0.36500662562691849</v>
      </c>
      <c r="M33" s="76"/>
      <c r="O33" s="35">
        <f>AVERAGE(H33:L33)</f>
        <v>0.34361516138195347</v>
      </c>
      <c r="P33" s="127">
        <v>0.36</v>
      </c>
    </row>
    <row r="34" spans="1:16">
      <c r="A34" s="116" t="s">
        <v>613</v>
      </c>
      <c r="B34" s="117"/>
      <c r="C34" s="117"/>
      <c r="D34" s="117"/>
      <c r="E34" s="117"/>
      <c r="F34" s="117">
        <f t="shared" ref="F34" si="2">(F20-F26)/F20</f>
        <v>0.5501223241590214</v>
      </c>
      <c r="G34" s="117">
        <f>(G20-G26)/G20</f>
        <v>0.60772869075173597</v>
      </c>
      <c r="H34" s="117">
        <f t="shared" ref="H34:L34" si="3">(H20-H26)/H20</f>
        <v>0.63738091637683347</v>
      </c>
      <c r="I34" s="117">
        <f t="shared" si="3"/>
        <v>0.66015101919357233</v>
      </c>
      <c r="J34" s="117">
        <f t="shared" si="3"/>
        <v>0.69725977347460721</v>
      </c>
      <c r="K34" s="117">
        <f t="shared" si="3"/>
        <v>0.71745446633132381</v>
      </c>
      <c r="L34" s="117">
        <f t="shared" si="3"/>
        <v>0.70827464788732397</v>
      </c>
      <c r="M34" s="76"/>
      <c r="O34" s="35">
        <f>AVERAGE(H34:L34)</f>
        <v>0.68410416465273216</v>
      </c>
      <c r="P34" s="127">
        <v>0.71</v>
      </c>
    </row>
    <row r="35" spans="1:16">
      <c r="A35" s="62"/>
      <c r="B35" s="62"/>
      <c r="C35" s="62"/>
      <c r="D35" s="62"/>
      <c r="E35" s="62"/>
      <c r="F35" s="62"/>
      <c r="G35" s="62"/>
      <c r="H35" s="62"/>
      <c r="I35" s="62"/>
      <c r="J35" s="62"/>
      <c r="K35" s="62"/>
      <c r="L35" s="62"/>
      <c r="M35" s="62"/>
    </row>
    <row r="36" spans="1:16">
      <c r="A36" s="62" t="s">
        <v>123</v>
      </c>
      <c r="B36" s="72">
        <v>10830</v>
      </c>
      <c r="C36" s="72">
        <v>11993</v>
      </c>
      <c r="D36" s="72">
        <v>14329</v>
      </c>
      <c r="E36" s="72">
        <v>14194</v>
      </c>
      <c r="F36" s="72">
        <v>15261</v>
      </c>
      <c r="G36" s="72">
        <v>16705</v>
      </c>
      <c r="H36" s="72">
        <v>18245</v>
      </c>
      <c r="I36" s="72">
        <v>19916</v>
      </c>
      <c r="J36" s="72">
        <v>21973</v>
      </c>
      <c r="K36" s="72">
        <v>25094</v>
      </c>
      <c r="L36" s="72">
        <v>24932</v>
      </c>
      <c r="M36" s="72">
        <v>25111</v>
      </c>
    </row>
    <row r="37" spans="1:16" ht="17">
      <c r="A37" s="73" t="s">
        <v>124</v>
      </c>
      <c r="B37" s="74">
        <v>1100</v>
      </c>
      <c r="C37" s="74" t="s">
        <v>35</v>
      </c>
      <c r="D37" s="74" t="s">
        <v>35</v>
      </c>
      <c r="E37" s="74" t="s">
        <v>35</v>
      </c>
      <c r="F37" s="74" t="s">
        <v>35</v>
      </c>
      <c r="G37" s="74" t="s">
        <v>35</v>
      </c>
      <c r="H37" s="74" t="s">
        <v>35</v>
      </c>
      <c r="I37" s="74" t="s">
        <v>35</v>
      </c>
      <c r="J37" s="74" t="s">
        <v>35</v>
      </c>
      <c r="K37" s="74" t="s">
        <v>35</v>
      </c>
      <c r="L37" s="74" t="s">
        <v>35</v>
      </c>
      <c r="M37" s="74" t="s">
        <v>35</v>
      </c>
    </row>
    <row r="38" spans="1:16" ht="17">
      <c r="A38" s="73" t="s">
        <v>125</v>
      </c>
      <c r="B38" s="74" t="s">
        <v>35</v>
      </c>
      <c r="C38" s="74" t="s">
        <v>35</v>
      </c>
      <c r="D38" s="74" t="s">
        <v>35</v>
      </c>
      <c r="E38" s="74" t="s">
        <v>35</v>
      </c>
      <c r="F38" s="74">
        <v>15261</v>
      </c>
      <c r="G38" s="74">
        <v>16705</v>
      </c>
      <c r="H38" s="74">
        <v>18245</v>
      </c>
      <c r="I38" s="74">
        <v>19916</v>
      </c>
      <c r="J38" s="74">
        <v>21973</v>
      </c>
      <c r="K38" s="74">
        <v>25094</v>
      </c>
      <c r="L38" s="74">
        <v>24932</v>
      </c>
      <c r="M38" s="74" t="s">
        <v>35</v>
      </c>
    </row>
    <row r="39" spans="1:16" ht="17">
      <c r="A39" s="73" t="s">
        <v>125</v>
      </c>
      <c r="B39" s="74">
        <v>10830</v>
      </c>
      <c r="C39" s="74">
        <v>11993</v>
      </c>
      <c r="D39" s="74">
        <v>14329</v>
      </c>
      <c r="E39" s="74">
        <v>14194</v>
      </c>
      <c r="F39" s="74" t="s">
        <v>35</v>
      </c>
      <c r="G39" s="74" t="s">
        <v>35</v>
      </c>
      <c r="H39" s="74" t="s">
        <v>35</v>
      </c>
      <c r="I39" s="74" t="s">
        <v>35</v>
      </c>
      <c r="J39" s="74" t="s">
        <v>35</v>
      </c>
      <c r="K39" s="74" t="s">
        <v>35</v>
      </c>
      <c r="L39" s="74" t="s">
        <v>35</v>
      </c>
      <c r="M39" s="74" t="s">
        <v>35</v>
      </c>
    </row>
    <row r="40" spans="1:16" ht="17">
      <c r="A40" s="73" t="s">
        <v>126</v>
      </c>
      <c r="B40" s="74">
        <v>986</v>
      </c>
      <c r="C40" s="74">
        <v>1197</v>
      </c>
      <c r="D40" s="74">
        <v>1475</v>
      </c>
      <c r="E40" s="74">
        <v>1552</v>
      </c>
      <c r="F40" s="74" t="s">
        <v>35</v>
      </c>
      <c r="G40" s="74" t="s">
        <v>35</v>
      </c>
      <c r="H40" s="74" t="s">
        <v>35</v>
      </c>
      <c r="I40" s="74" t="s">
        <v>35</v>
      </c>
      <c r="J40" s="74" t="s">
        <v>35</v>
      </c>
      <c r="K40" s="74" t="s">
        <v>35</v>
      </c>
      <c r="L40" s="74" t="s">
        <v>35</v>
      </c>
      <c r="M40" s="74" t="s">
        <v>35</v>
      </c>
    </row>
    <row r="41" spans="1:16" ht="17">
      <c r="A41" s="73" t="s">
        <v>127</v>
      </c>
      <c r="B41" s="74">
        <v>1100</v>
      </c>
      <c r="C41" s="74" t="s">
        <v>35</v>
      </c>
      <c r="D41" s="74" t="s">
        <v>35</v>
      </c>
      <c r="E41" s="74" t="s">
        <v>35</v>
      </c>
      <c r="F41" s="74" t="s">
        <v>35</v>
      </c>
      <c r="G41" s="74" t="s">
        <v>35</v>
      </c>
      <c r="H41" s="74" t="s">
        <v>35</v>
      </c>
      <c r="I41" s="74" t="s">
        <v>35</v>
      </c>
      <c r="J41" s="74" t="s">
        <v>35</v>
      </c>
      <c r="K41" s="74" t="s">
        <v>35</v>
      </c>
      <c r="L41" s="74" t="s">
        <v>35</v>
      </c>
      <c r="M41" s="74" t="s">
        <v>35</v>
      </c>
    </row>
    <row r="42" spans="1:16" ht="17">
      <c r="A42" s="73" t="s">
        <v>128</v>
      </c>
      <c r="B42" s="74">
        <v>986</v>
      </c>
      <c r="C42" s="74">
        <v>1197</v>
      </c>
      <c r="D42" s="74">
        <v>1475</v>
      </c>
      <c r="E42" s="74">
        <v>1552</v>
      </c>
      <c r="F42" s="74" t="s">
        <v>35</v>
      </c>
      <c r="G42" s="74" t="s">
        <v>35</v>
      </c>
      <c r="H42" s="74" t="s">
        <v>35</v>
      </c>
      <c r="I42" s="74" t="s">
        <v>35</v>
      </c>
      <c r="J42" s="74" t="s">
        <v>35</v>
      </c>
      <c r="K42" s="74" t="s">
        <v>35</v>
      </c>
      <c r="L42" s="74" t="s">
        <v>35</v>
      </c>
      <c r="M42" s="74" t="s">
        <v>35</v>
      </c>
    </row>
    <row r="43" spans="1:16">
      <c r="A43" s="62" t="s">
        <v>129</v>
      </c>
      <c r="B43" s="72">
        <v>4475</v>
      </c>
      <c r="C43" s="72">
        <v>6041</v>
      </c>
      <c r="D43" s="72">
        <v>8067</v>
      </c>
      <c r="E43" s="72">
        <v>10045</v>
      </c>
      <c r="F43" s="72">
        <v>11581</v>
      </c>
      <c r="G43" s="72">
        <v>14236</v>
      </c>
      <c r="H43" s="72">
        <v>16217</v>
      </c>
      <c r="I43" s="72">
        <v>18752</v>
      </c>
      <c r="J43" s="72">
        <v>21914</v>
      </c>
      <c r="K43" s="72">
        <v>26251</v>
      </c>
      <c r="L43" s="72">
        <v>29915</v>
      </c>
      <c r="M43" s="72">
        <v>29902</v>
      </c>
    </row>
    <row r="44" spans="1:16" ht="17">
      <c r="A44" s="73" t="s">
        <v>130</v>
      </c>
      <c r="B44" s="74" t="s">
        <v>35</v>
      </c>
      <c r="C44" s="74" t="s">
        <v>35</v>
      </c>
      <c r="D44" s="74" t="s">
        <v>35</v>
      </c>
      <c r="E44" s="74" t="s">
        <v>35</v>
      </c>
      <c r="F44" s="74">
        <v>11581</v>
      </c>
      <c r="G44" s="74">
        <v>14236</v>
      </c>
      <c r="H44" s="74">
        <v>16217</v>
      </c>
      <c r="I44" s="74">
        <v>18752</v>
      </c>
      <c r="J44" s="74">
        <v>21914</v>
      </c>
      <c r="K44" s="74">
        <v>26251</v>
      </c>
      <c r="L44" s="74">
        <v>29915</v>
      </c>
      <c r="M44" s="74" t="s">
        <v>35</v>
      </c>
    </row>
    <row r="45" spans="1:16" ht="17">
      <c r="A45" s="73" t="s">
        <v>131</v>
      </c>
      <c r="B45" s="74">
        <v>4475</v>
      </c>
      <c r="C45" s="74">
        <v>6041</v>
      </c>
      <c r="D45" s="74">
        <v>8067</v>
      </c>
      <c r="E45" s="74">
        <v>10045</v>
      </c>
      <c r="F45" s="74" t="s">
        <v>35</v>
      </c>
      <c r="G45" s="74" t="s">
        <v>35</v>
      </c>
      <c r="H45" s="74" t="s">
        <v>35</v>
      </c>
      <c r="I45" s="74" t="s">
        <v>35</v>
      </c>
      <c r="J45" s="74" t="s">
        <v>35</v>
      </c>
      <c r="K45" s="74" t="s">
        <v>35</v>
      </c>
      <c r="L45" s="74" t="s">
        <v>35</v>
      </c>
      <c r="M45" s="74" t="s">
        <v>35</v>
      </c>
    </row>
    <row r="46" spans="1:16" ht="17">
      <c r="A46" s="73" t="s">
        <v>132</v>
      </c>
      <c r="B46" s="74">
        <v>917</v>
      </c>
      <c r="C46" s="74">
        <v>1216</v>
      </c>
      <c r="D46" s="74">
        <v>1536</v>
      </c>
      <c r="E46" s="74">
        <v>1889</v>
      </c>
      <c r="F46" s="74" t="s">
        <v>35</v>
      </c>
      <c r="G46" s="74" t="s">
        <v>35</v>
      </c>
      <c r="H46" s="74" t="s">
        <v>35</v>
      </c>
      <c r="I46" s="74" t="s">
        <v>35</v>
      </c>
      <c r="J46" s="74" t="s">
        <v>35</v>
      </c>
      <c r="K46" s="74" t="s">
        <v>35</v>
      </c>
      <c r="L46" s="74" t="s">
        <v>35</v>
      </c>
      <c r="M46" s="74" t="s">
        <v>35</v>
      </c>
    </row>
    <row r="47" spans="1:16" ht="17">
      <c r="A47" s="73" t="s">
        <v>133</v>
      </c>
      <c r="B47" s="74">
        <v>917</v>
      </c>
      <c r="C47" s="74">
        <v>1216</v>
      </c>
      <c r="D47" s="74">
        <v>1536</v>
      </c>
      <c r="E47" s="74">
        <v>1889</v>
      </c>
      <c r="F47" s="74" t="s">
        <v>35</v>
      </c>
      <c r="G47" s="74" t="s">
        <v>35</v>
      </c>
      <c r="H47" s="74" t="s">
        <v>35</v>
      </c>
      <c r="I47" s="74" t="s">
        <v>35</v>
      </c>
      <c r="J47" s="74" t="s">
        <v>35</v>
      </c>
      <c r="K47" s="74" t="s">
        <v>35</v>
      </c>
      <c r="L47" s="74" t="s">
        <v>35</v>
      </c>
      <c r="M47" s="74" t="s">
        <v>35</v>
      </c>
    </row>
    <row r="48" spans="1:16" ht="17">
      <c r="A48" s="62" t="s">
        <v>134</v>
      </c>
      <c r="B48" s="72" t="s">
        <v>35</v>
      </c>
      <c r="C48" s="72" t="s">
        <v>35</v>
      </c>
      <c r="D48" s="72" t="s">
        <v>35</v>
      </c>
      <c r="E48" s="72" t="s">
        <v>35</v>
      </c>
      <c r="F48" s="72" t="s">
        <v>35</v>
      </c>
      <c r="G48" s="72" t="s">
        <v>35</v>
      </c>
      <c r="H48" s="72" t="s">
        <v>35</v>
      </c>
      <c r="I48" s="72" t="s">
        <v>35</v>
      </c>
      <c r="J48" s="72" t="s">
        <v>35</v>
      </c>
      <c r="K48" s="72" t="s">
        <v>35</v>
      </c>
      <c r="L48" s="72" t="s">
        <v>35</v>
      </c>
      <c r="M48" s="72" t="s">
        <v>35</v>
      </c>
    </row>
    <row r="49" spans="1:16" ht="17">
      <c r="A49" s="62" t="s">
        <v>135</v>
      </c>
      <c r="B49" s="72" t="s">
        <v>35</v>
      </c>
      <c r="C49" s="72" t="s">
        <v>35</v>
      </c>
      <c r="D49" s="72" t="s">
        <v>35</v>
      </c>
      <c r="E49" s="72" t="s">
        <v>35</v>
      </c>
      <c r="F49" s="72" t="s">
        <v>35</v>
      </c>
      <c r="G49" s="72" t="s">
        <v>35</v>
      </c>
      <c r="H49" s="72" t="s">
        <v>35</v>
      </c>
      <c r="I49" s="72" t="s">
        <v>35</v>
      </c>
      <c r="J49" s="72" t="s">
        <v>35</v>
      </c>
      <c r="K49" s="72" t="s">
        <v>35</v>
      </c>
      <c r="L49" s="72" t="s">
        <v>35</v>
      </c>
      <c r="M49" s="72" t="s">
        <v>35</v>
      </c>
    </row>
    <row r="50" spans="1:16">
      <c r="A50" s="62"/>
      <c r="B50" s="62"/>
      <c r="C50" s="62"/>
      <c r="D50" s="62"/>
      <c r="E50" s="62"/>
      <c r="F50" s="62"/>
      <c r="G50" s="62"/>
      <c r="H50" s="62"/>
      <c r="I50" s="62"/>
      <c r="J50" s="62"/>
      <c r="K50" s="62"/>
      <c r="L50" s="62"/>
      <c r="M50" s="62"/>
    </row>
    <row r="51" spans="1:16">
      <c r="A51" s="71" t="s">
        <v>136</v>
      </c>
      <c r="B51" s="75">
        <v>15305</v>
      </c>
      <c r="C51" s="75">
        <v>18034</v>
      </c>
      <c r="D51" s="75">
        <v>22396</v>
      </c>
      <c r="E51" s="75">
        <v>24239</v>
      </c>
      <c r="F51" s="75">
        <v>26842</v>
      </c>
      <c r="G51" s="75">
        <v>30941</v>
      </c>
      <c r="H51" s="75">
        <v>34462</v>
      </c>
      <c r="I51" s="75">
        <v>38668</v>
      </c>
      <c r="J51" s="75">
        <v>43887</v>
      </c>
      <c r="K51" s="75">
        <v>51345</v>
      </c>
      <c r="L51" s="75">
        <v>54847</v>
      </c>
      <c r="M51" s="75">
        <v>55013</v>
      </c>
    </row>
    <row r="52" spans="1:16">
      <c r="A52" s="71"/>
      <c r="B52" s="76"/>
      <c r="C52" s="76"/>
      <c r="D52" s="76"/>
      <c r="E52" s="76"/>
      <c r="F52" s="76"/>
      <c r="G52" s="76"/>
      <c r="H52" s="76"/>
      <c r="I52" s="76"/>
      <c r="J52" s="76"/>
      <c r="K52" s="76"/>
      <c r="L52" s="76"/>
      <c r="M52" s="76"/>
      <c r="O52" s="29" t="s">
        <v>597</v>
      </c>
      <c r="P52" s="29" t="s">
        <v>614</v>
      </c>
    </row>
    <row r="53" spans="1:16">
      <c r="A53" s="116" t="s">
        <v>632</v>
      </c>
      <c r="B53" s="117">
        <f>B51/B23</f>
        <v>8.9550055584810717E-2</v>
      </c>
      <c r="C53" s="117">
        <f t="shared" ref="C53:L53" si="4">C51/C23</f>
        <v>9.8656965453103207E-2</v>
      </c>
      <c r="D53" s="117">
        <f t="shared" si="4"/>
        <v>9.5826113000877136E-2</v>
      </c>
      <c r="E53" s="117">
        <f t="shared" si="4"/>
        <v>0.11240545541390935</v>
      </c>
      <c r="F53" s="117">
        <f t="shared" si="4"/>
        <v>0.11709432283169163</v>
      </c>
      <c r="G53" s="117">
        <f t="shared" si="4"/>
        <v>0.11649692200530884</v>
      </c>
      <c r="H53" s="117">
        <f t="shared" si="4"/>
        <v>0.13245750920537794</v>
      </c>
      <c r="I53" s="117">
        <f t="shared" si="4"/>
        <v>0.14085933373404003</v>
      </c>
      <c r="J53" s="117">
        <f t="shared" si="4"/>
        <v>0.11996982097606181</v>
      </c>
      <c r="K53" s="117">
        <f t="shared" si="4"/>
        <v>0.13020886165831491</v>
      </c>
      <c r="L53" s="117">
        <f t="shared" si="4"/>
        <v>0.1430971731218284</v>
      </c>
      <c r="M53" s="72"/>
      <c r="O53" s="35">
        <f>AVERAGE(H53:L53)</f>
        <v>0.13331853973912461</v>
      </c>
      <c r="P53" s="112">
        <f>O53</f>
        <v>0.13331853973912461</v>
      </c>
    </row>
    <row r="54" spans="1:16">
      <c r="A54" s="62"/>
      <c r="B54" s="62"/>
      <c r="C54" s="62"/>
      <c r="D54" s="62"/>
      <c r="E54" s="62"/>
      <c r="F54" s="62"/>
      <c r="G54" s="62"/>
      <c r="H54" s="62"/>
      <c r="I54" s="62"/>
      <c r="J54" s="62"/>
      <c r="K54" s="62"/>
      <c r="L54" s="62"/>
      <c r="M54" s="62"/>
    </row>
    <row r="55" spans="1:16">
      <c r="A55" s="71" t="s">
        <v>137</v>
      </c>
      <c r="B55" s="76">
        <v>48999</v>
      </c>
      <c r="C55" s="76">
        <v>52503</v>
      </c>
      <c r="D55" s="76">
        <v>71230</v>
      </c>
      <c r="E55" s="76">
        <v>60024</v>
      </c>
      <c r="F55" s="76">
        <v>61344</v>
      </c>
      <c r="G55" s="76">
        <v>70898</v>
      </c>
      <c r="H55" s="76">
        <v>63930</v>
      </c>
      <c r="I55" s="76">
        <v>66288</v>
      </c>
      <c r="J55" s="76">
        <v>108949</v>
      </c>
      <c r="K55" s="76">
        <v>119437</v>
      </c>
      <c r="L55" s="76">
        <v>114301</v>
      </c>
      <c r="M55" s="76">
        <v>118658</v>
      </c>
    </row>
    <row r="56" spans="1:16">
      <c r="A56" s="62"/>
      <c r="B56" s="62"/>
      <c r="C56" s="62"/>
      <c r="D56" s="62"/>
      <c r="E56" s="62"/>
      <c r="F56" s="62"/>
      <c r="G56" s="62"/>
      <c r="H56" s="62"/>
      <c r="I56" s="62"/>
      <c r="J56" s="62"/>
      <c r="K56" s="62"/>
      <c r="L56" s="62"/>
      <c r="M56" s="62"/>
    </row>
    <row r="57" spans="1:16">
      <c r="A57" s="62" t="s">
        <v>138</v>
      </c>
      <c r="B57" s="72">
        <v>-136</v>
      </c>
      <c r="C57" s="72">
        <v>-384</v>
      </c>
      <c r="D57" s="72">
        <v>-733</v>
      </c>
      <c r="E57" s="72">
        <v>-1456</v>
      </c>
      <c r="F57" s="72">
        <v>-2323</v>
      </c>
      <c r="G57" s="72">
        <v>-3240</v>
      </c>
      <c r="H57" s="72">
        <v>-3576</v>
      </c>
      <c r="I57" s="72">
        <v>-2873</v>
      </c>
      <c r="J57" s="72">
        <v>-2645</v>
      </c>
      <c r="K57" s="72">
        <v>-2931</v>
      </c>
      <c r="L57" s="72">
        <v>-3933</v>
      </c>
      <c r="M57" s="72">
        <v>-3933</v>
      </c>
    </row>
    <row r="58" spans="1:16" ht="17">
      <c r="A58" s="73" t="s">
        <v>139</v>
      </c>
      <c r="B58" s="74" t="s">
        <v>35</v>
      </c>
      <c r="C58" s="74">
        <v>-384</v>
      </c>
      <c r="D58" s="74" t="s">
        <v>35</v>
      </c>
      <c r="E58" s="74">
        <v>-1456</v>
      </c>
      <c r="F58" s="74">
        <v>-2323</v>
      </c>
      <c r="G58" s="74">
        <v>-3240</v>
      </c>
      <c r="H58" s="74">
        <v>-3576</v>
      </c>
      <c r="I58" s="74">
        <v>-2873</v>
      </c>
      <c r="J58" s="74">
        <v>-2645</v>
      </c>
      <c r="K58" s="74">
        <v>-2931</v>
      </c>
      <c r="L58" s="74">
        <v>-3933</v>
      </c>
      <c r="M58" s="74" t="s">
        <v>35</v>
      </c>
    </row>
    <row r="59" spans="1:16" ht="17">
      <c r="A59" s="73" t="s">
        <v>140</v>
      </c>
      <c r="B59" s="74">
        <v>-136</v>
      </c>
      <c r="C59" s="74" t="s">
        <v>35</v>
      </c>
      <c r="D59" s="74" t="s">
        <v>35</v>
      </c>
      <c r="E59" s="74" t="s">
        <v>35</v>
      </c>
      <c r="F59" s="74" t="s">
        <v>35</v>
      </c>
      <c r="G59" s="74" t="s">
        <v>35</v>
      </c>
      <c r="H59" s="74" t="s">
        <v>35</v>
      </c>
      <c r="I59" s="74" t="s">
        <v>35</v>
      </c>
      <c r="J59" s="74" t="s">
        <v>35</v>
      </c>
      <c r="K59" s="74" t="s">
        <v>35</v>
      </c>
      <c r="L59" s="74" t="s">
        <v>35</v>
      </c>
      <c r="M59" s="74" t="s">
        <v>35</v>
      </c>
    </row>
    <row r="60" spans="1:16" ht="17">
      <c r="A60" s="73" t="s">
        <v>140</v>
      </c>
      <c r="B60" s="74" t="s">
        <v>35</v>
      </c>
      <c r="C60" s="74" t="s">
        <v>35</v>
      </c>
      <c r="D60" s="74">
        <v>-733</v>
      </c>
      <c r="E60" s="74" t="s">
        <v>35</v>
      </c>
      <c r="F60" s="74" t="s">
        <v>35</v>
      </c>
      <c r="G60" s="74" t="s">
        <v>35</v>
      </c>
      <c r="H60" s="74" t="s">
        <v>35</v>
      </c>
      <c r="I60" s="74" t="s">
        <v>35</v>
      </c>
      <c r="J60" s="74" t="s">
        <v>35</v>
      </c>
      <c r="K60" s="74" t="s">
        <v>35</v>
      </c>
      <c r="L60" s="74" t="s">
        <v>35</v>
      </c>
      <c r="M60" s="74" t="s">
        <v>35</v>
      </c>
    </row>
    <row r="61" spans="1:16">
      <c r="A61" s="62" t="s">
        <v>141</v>
      </c>
      <c r="B61" s="72">
        <v>1616</v>
      </c>
      <c r="C61" s="72">
        <v>1795</v>
      </c>
      <c r="D61" s="72">
        <v>2921</v>
      </c>
      <c r="E61" s="72">
        <v>3999</v>
      </c>
      <c r="F61" s="72">
        <v>5201</v>
      </c>
      <c r="G61" s="72">
        <v>5686</v>
      </c>
      <c r="H61" s="72">
        <v>4961</v>
      </c>
      <c r="I61" s="72">
        <v>3763</v>
      </c>
      <c r="J61" s="72">
        <v>2843</v>
      </c>
      <c r="K61" s="72">
        <v>2825</v>
      </c>
      <c r="L61" s="72">
        <v>3750</v>
      </c>
      <c r="M61" s="72">
        <v>3750</v>
      </c>
    </row>
    <row r="62" spans="1:16" ht="17">
      <c r="A62" s="73" t="s">
        <v>142</v>
      </c>
      <c r="B62" s="74">
        <v>1616</v>
      </c>
      <c r="C62" s="74">
        <v>1795</v>
      </c>
      <c r="D62" s="74" t="s">
        <v>35</v>
      </c>
      <c r="E62" s="74">
        <v>3999</v>
      </c>
      <c r="F62" s="74">
        <v>5201</v>
      </c>
      <c r="G62" s="74">
        <v>5686</v>
      </c>
      <c r="H62" s="74">
        <v>4961</v>
      </c>
      <c r="I62" s="74">
        <v>3763</v>
      </c>
      <c r="J62" s="74">
        <v>2843</v>
      </c>
      <c r="K62" s="74">
        <v>2825</v>
      </c>
      <c r="L62" s="74">
        <v>3750</v>
      </c>
      <c r="M62" s="74" t="s">
        <v>35</v>
      </c>
    </row>
    <row r="63" spans="1:16" ht="17">
      <c r="A63" s="73" t="s">
        <v>143</v>
      </c>
      <c r="B63" s="74" t="s">
        <v>35</v>
      </c>
      <c r="C63" s="74" t="s">
        <v>35</v>
      </c>
      <c r="D63" s="74">
        <v>2921</v>
      </c>
      <c r="E63" s="74" t="s">
        <v>35</v>
      </c>
      <c r="F63" s="74" t="s">
        <v>35</v>
      </c>
      <c r="G63" s="74" t="s">
        <v>35</v>
      </c>
      <c r="H63" s="74" t="s">
        <v>35</v>
      </c>
      <c r="I63" s="74" t="s">
        <v>35</v>
      </c>
      <c r="J63" s="74" t="s">
        <v>35</v>
      </c>
      <c r="K63" s="74" t="s">
        <v>35</v>
      </c>
      <c r="L63" s="74" t="s">
        <v>35</v>
      </c>
      <c r="M63" s="74" t="s">
        <v>35</v>
      </c>
    </row>
    <row r="64" spans="1:16">
      <c r="A64" s="71" t="s">
        <v>144</v>
      </c>
      <c r="B64" s="75">
        <v>1480</v>
      </c>
      <c r="C64" s="75">
        <v>1411</v>
      </c>
      <c r="D64" s="75">
        <v>2188</v>
      </c>
      <c r="E64" s="75">
        <v>2543</v>
      </c>
      <c r="F64" s="75">
        <v>2878</v>
      </c>
      <c r="G64" s="75">
        <v>2446</v>
      </c>
      <c r="H64" s="75">
        <v>1385</v>
      </c>
      <c r="I64" s="75">
        <v>890</v>
      </c>
      <c r="J64" s="75">
        <v>198</v>
      </c>
      <c r="K64" s="75">
        <v>-106</v>
      </c>
      <c r="L64" s="75">
        <v>-183</v>
      </c>
      <c r="M64" s="75">
        <v>-183</v>
      </c>
    </row>
    <row r="65" spans="1:13">
      <c r="A65" s="62"/>
      <c r="B65" s="62"/>
      <c r="C65" s="62"/>
      <c r="D65" s="62"/>
      <c r="E65" s="62"/>
      <c r="F65" s="62"/>
      <c r="G65" s="62"/>
      <c r="H65" s="62"/>
      <c r="I65" s="62"/>
      <c r="J65" s="62"/>
      <c r="K65" s="62"/>
      <c r="L65" s="62"/>
      <c r="M65" s="62"/>
    </row>
    <row r="66" spans="1:13">
      <c r="A66" s="62" t="s">
        <v>145</v>
      </c>
      <c r="B66" s="72">
        <v>-324</v>
      </c>
      <c r="C66" s="72">
        <v>-431</v>
      </c>
      <c r="D66" s="72">
        <v>-903</v>
      </c>
      <c r="E66" s="72">
        <v>-1195</v>
      </c>
      <c r="F66" s="72">
        <v>-133</v>
      </c>
      <c r="G66" s="72">
        <v>-441</v>
      </c>
      <c r="H66" s="72">
        <v>422</v>
      </c>
      <c r="I66" s="72">
        <v>-87</v>
      </c>
      <c r="J66" s="72">
        <v>60</v>
      </c>
      <c r="K66" s="72">
        <v>-228</v>
      </c>
      <c r="L66" s="72">
        <v>-382</v>
      </c>
      <c r="M66" s="72">
        <v>-39</v>
      </c>
    </row>
    <row r="67" spans="1:13" ht="17">
      <c r="A67" s="73" t="s">
        <v>146</v>
      </c>
      <c r="B67" s="74" t="s">
        <v>35</v>
      </c>
      <c r="C67" s="74" t="s">
        <v>35</v>
      </c>
      <c r="D67" s="74" t="s">
        <v>35</v>
      </c>
      <c r="E67" s="74" t="s">
        <v>35</v>
      </c>
      <c r="F67" s="74" t="s">
        <v>35</v>
      </c>
      <c r="G67" s="74">
        <v>2005</v>
      </c>
      <c r="H67" s="74">
        <v>1807</v>
      </c>
      <c r="I67" s="74">
        <v>803</v>
      </c>
      <c r="J67" s="74">
        <v>258</v>
      </c>
      <c r="K67" s="74">
        <v>-334</v>
      </c>
      <c r="L67" s="74">
        <v>-565</v>
      </c>
      <c r="M67" s="74" t="s">
        <v>35</v>
      </c>
    </row>
    <row r="68" spans="1:13" ht="17">
      <c r="A68" s="73" t="s">
        <v>147</v>
      </c>
      <c r="B68" s="74" t="s">
        <v>35</v>
      </c>
      <c r="C68" s="74" t="s">
        <v>35</v>
      </c>
      <c r="D68" s="74" t="s">
        <v>35</v>
      </c>
      <c r="E68" s="74" t="s">
        <v>35</v>
      </c>
      <c r="F68" s="74" t="s">
        <v>35</v>
      </c>
      <c r="G68" s="74">
        <v>5686</v>
      </c>
      <c r="H68" s="74">
        <v>4961</v>
      </c>
      <c r="I68" s="74">
        <v>3763</v>
      </c>
      <c r="J68" s="74">
        <v>2843</v>
      </c>
      <c r="K68" s="74">
        <v>2825</v>
      </c>
      <c r="L68" s="74">
        <v>3750</v>
      </c>
      <c r="M68" s="74" t="s">
        <v>35</v>
      </c>
    </row>
    <row r="69" spans="1:13" ht="17">
      <c r="A69" s="73" t="s">
        <v>148</v>
      </c>
      <c r="B69" s="74" t="s">
        <v>35</v>
      </c>
      <c r="C69" s="74" t="s">
        <v>35</v>
      </c>
      <c r="D69" s="74" t="s">
        <v>35</v>
      </c>
      <c r="E69" s="74" t="s">
        <v>35</v>
      </c>
      <c r="F69" s="74" t="s">
        <v>35</v>
      </c>
      <c r="G69" s="74">
        <v>-3240</v>
      </c>
      <c r="H69" s="74">
        <v>-3576</v>
      </c>
      <c r="I69" s="74">
        <v>-2873</v>
      </c>
      <c r="J69" s="74">
        <v>-2645</v>
      </c>
      <c r="K69" s="74">
        <v>-2931</v>
      </c>
      <c r="L69" s="74">
        <v>-3933</v>
      </c>
      <c r="M69" s="74" t="s">
        <v>35</v>
      </c>
    </row>
    <row r="70" spans="1:13" ht="17">
      <c r="A70" s="73" t="s">
        <v>149</v>
      </c>
      <c r="B70" s="74">
        <v>1156</v>
      </c>
      <c r="C70" s="74">
        <v>980</v>
      </c>
      <c r="D70" s="74">
        <v>1285</v>
      </c>
      <c r="E70" s="74">
        <v>1348</v>
      </c>
      <c r="F70" s="74">
        <v>2745</v>
      </c>
      <c r="G70" s="74" t="s">
        <v>35</v>
      </c>
      <c r="H70" s="74" t="s">
        <v>35</v>
      </c>
      <c r="I70" s="74" t="s">
        <v>35</v>
      </c>
      <c r="J70" s="74" t="s">
        <v>35</v>
      </c>
      <c r="K70" s="74" t="s">
        <v>35</v>
      </c>
      <c r="L70" s="74" t="s">
        <v>35</v>
      </c>
      <c r="M70" s="74" t="s">
        <v>35</v>
      </c>
    </row>
    <row r="71" spans="1:13" ht="17">
      <c r="A71" s="73" t="s">
        <v>147</v>
      </c>
      <c r="B71" s="74">
        <v>1616</v>
      </c>
      <c r="C71" s="74">
        <v>1795</v>
      </c>
      <c r="D71" s="74" t="s">
        <v>35</v>
      </c>
      <c r="E71" s="74">
        <v>3999</v>
      </c>
      <c r="F71" s="74">
        <v>5201</v>
      </c>
      <c r="G71" s="74" t="s">
        <v>35</v>
      </c>
      <c r="H71" s="74" t="s">
        <v>35</v>
      </c>
      <c r="I71" s="74" t="s">
        <v>35</v>
      </c>
      <c r="J71" s="74" t="s">
        <v>35</v>
      </c>
      <c r="K71" s="74" t="s">
        <v>35</v>
      </c>
      <c r="L71" s="74" t="s">
        <v>35</v>
      </c>
      <c r="M71" s="74" t="s">
        <v>35</v>
      </c>
    </row>
    <row r="72" spans="1:13" ht="17">
      <c r="A72" s="73" t="s">
        <v>148</v>
      </c>
      <c r="B72" s="74" t="s">
        <v>35</v>
      </c>
      <c r="C72" s="74">
        <v>-384</v>
      </c>
      <c r="D72" s="74" t="s">
        <v>35</v>
      </c>
      <c r="E72" s="74">
        <v>-1456</v>
      </c>
      <c r="F72" s="74">
        <v>-2323</v>
      </c>
      <c r="G72" s="74" t="s">
        <v>35</v>
      </c>
      <c r="H72" s="74" t="s">
        <v>35</v>
      </c>
      <c r="I72" s="74" t="s">
        <v>35</v>
      </c>
      <c r="J72" s="74" t="s">
        <v>35</v>
      </c>
      <c r="K72" s="74" t="s">
        <v>35</v>
      </c>
      <c r="L72" s="74" t="s">
        <v>35</v>
      </c>
      <c r="M72" s="74" t="s">
        <v>35</v>
      </c>
    </row>
    <row r="73" spans="1:13" ht="17">
      <c r="A73" s="73" t="s">
        <v>147</v>
      </c>
      <c r="B73" s="74">
        <v>-136</v>
      </c>
      <c r="C73" s="74" t="s">
        <v>35</v>
      </c>
      <c r="D73" s="74">
        <v>2921</v>
      </c>
      <c r="E73" s="74" t="s">
        <v>35</v>
      </c>
      <c r="F73" s="74" t="s">
        <v>35</v>
      </c>
      <c r="G73" s="74" t="s">
        <v>35</v>
      </c>
      <c r="H73" s="74" t="s">
        <v>35</v>
      </c>
      <c r="I73" s="74" t="s">
        <v>35</v>
      </c>
      <c r="J73" s="74" t="s">
        <v>35</v>
      </c>
      <c r="K73" s="74" t="s">
        <v>35</v>
      </c>
      <c r="L73" s="74" t="s">
        <v>35</v>
      </c>
      <c r="M73" s="74" t="s">
        <v>35</v>
      </c>
    </row>
    <row r="74" spans="1:13" ht="17">
      <c r="A74" s="73" t="s">
        <v>148</v>
      </c>
      <c r="B74" s="74" t="s">
        <v>35</v>
      </c>
      <c r="C74" s="74" t="s">
        <v>35</v>
      </c>
      <c r="D74" s="74">
        <v>-733</v>
      </c>
      <c r="E74" s="74" t="s">
        <v>35</v>
      </c>
      <c r="F74" s="74" t="s">
        <v>35</v>
      </c>
      <c r="G74" s="74" t="s">
        <v>35</v>
      </c>
      <c r="H74" s="74" t="s">
        <v>35</v>
      </c>
      <c r="I74" s="74" t="s">
        <v>35</v>
      </c>
      <c r="J74" s="74" t="s">
        <v>35</v>
      </c>
      <c r="K74" s="74" t="s">
        <v>35</v>
      </c>
      <c r="L74" s="74" t="s">
        <v>35</v>
      </c>
      <c r="M74" s="74" t="s">
        <v>35</v>
      </c>
    </row>
    <row r="75" spans="1:13">
      <c r="A75" s="71" t="s">
        <v>150</v>
      </c>
      <c r="B75" s="75">
        <v>50155</v>
      </c>
      <c r="C75" s="75">
        <v>53483</v>
      </c>
      <c r="D75" s="75">
        <v>72515</v>
      </c>
      <c r="E75" s="75">
        <v>61372</v>
      </c>
      <c r="F75" s="75">
        <v>64089</v>
      </c>
      <c r="G75" s="75">
        <v>72903</v>
      </c>
      <c r="H75" s="75">
        <v>65737</v>
      </c>
      <c r="I75" s="75">
        <v>67091</v>
      </c>
      <c r="J75" s="75">
        <v>109207</v>
      </c>
      <c r="K75" s="75">
        <v>119103</v>
      </c>
      <c r="L75" s="75">
        <v>113736</v>
      </c>
      <c r="M75" s="75">
        <v>118436</v>
      </c>
    </row>
    <row r="76" spans="1:13">
      <c r="A76" s="62"/>
      <c r="B76" s="62"/>
      <c r="C76" s="62"/>
      <c r="D76" s="62"/>
      <c r="E76" s="62"/>
      <c r="F76" s="62"/>
      <c r="G76" s="62"/>
      <c r="H76" s="62"/>
      <c r="I76" s="62"/>
      <c r="J76" s="62"/>
      <c r="K76" s="62"/>
      <c r="L76" s="62"/>
      <c r="M76" s="62"/>
    </row>
    <row r="77" spans="1:13" ht="17">
      <c r="A77" s="62" t="s">
        <v>151</v>
      </c>
      <c r="B77" s="72" t="s">
        <v>35</v>
      </c>
      <c r="C77" s="72" t="s">
        <v>35</v>
      </c>
      <c r="D77" s="72" t="s">
        <v>35</v>
      </c>
      <c r="E77" s="72" t="s">
        <v>35</v>
      </c>
      <c r="F77" s="72" t="s">
        <v>35</v>
      </c>
      <c r="G77" s="72" t="s">
        <v>35</v>
      </c>
      <c r="H77" s="72" t="s">
        <v>35</v>
      </c>
      <c r="I77" s="72" t="s">
        <v>35</v>
      </c>
      <c r="J77" s="72" t="s">
        <v>35</v>
      </c>
      <c r="K77" s="72" t="s">
        <v>35</v>
      </c>
      <c r="L77" s="72" t="s">
        <v>35</v>
      </c>
      <c r="M77" s="72" t="s">
        <v>35</v>
      </c>
    </row>
    <row r="78" spans="1:13" ht="17">
      <c r="A78" s="62" t="s">
        <v>152</v>
      </c>
      <c r="B78" s="72" t="s">
        <v>35</v>
      </c>
      <c r="C78" s="72" t="s">
        <v>35</v>
      </c>
      <c r="D78" s="72" t="s">
        <v>35</v>
      </c>
      <c r="E78" s="72" t="s">
        <v>35</v>
      </c>
      <c r="F78" s="72" t="s">
        <v>35</v>
      </c>
      <c r="G78" s="72" t="s">
        <v>35</v>
      </c>
      <c r="H78" s="72" t="s">
        <v>35</v>
      </c>
      <c r="I78" s="72" t="s">
        <v>35</v>
      </c>
      <c r="J78" s="72" t="s">
        <v>35</v>
      </c>
      <c r="K78" s="72" t="s">
        <v>35</v>
      </c>
      <c r="L78" s="72" t="s">
        <v>35</v>
      </c>
      <c r="M78" s="72" t="s">
        <v>35</v>
      </c>
    </row>
    <row r="79" spans="1:13">
      <c r="A79" s="71" t="s">
        <v>153</v>
      </c>
      <c r="B79" s="75">
        <v>50155</v>
      </c>
      <c r="C79" s="75">
        <v>53483</v>
      </c>
      <c r="D79" s="75">
        <v>72515</v>
      </c>
      <c r="E79" s="75">
        <v>61372</v>
      </c>
      <c r="F79" s="75">
        <v>64089</v>
      </c>
      <c r="G79" s="75">
        <v>72903</v>
      </c>
      <c r="H79" s="75">
        <v>65737</v>
      </c>
      <c r="I79" s="75">
        <v>67091</v>
      </c>
      <c r="J79" s="75">
        <v>109207</v>
      </c>
      <c r="K79" s="75">
        <v>119103</v>
      </c>
      <c r="L79" s="75">
        <v>113736</v>
      </c>
      <c r="M79" s="75">
        <v>118436</v>
      </c>
    </row>
    <row r="80" spans="1:13">
      <c r="A80" s="62"/>
      <c r="B80" s="62"/>
      <c r="C80" s="62"/>
      <c r="D80" s="62"/>
      <c r="E80" s="62"/>
      <c r="F80" s="62"/>
      <c r="G80" s="62"/>
      <c r="H80" s="62"/>
      <c r="I80" s="62"/>
      <c r="J80" s="62"/>
      <c r="K80" s="62"/>
      <c r="L80" s="62"/>
      <c r="M80" s="62"/>
    </row>
    <row r="81" spans="1:15">
      <c r="A81" s="62" t="s">
        <v>154</v>
      </c>
      <c r="B81" s="72">
        <v>13118</v>
      </c>
      <c r="C81" s="72">
        <v>13973</v>
      </c>
      <c r="D81" s="72">
        <v>19121</v>
      </c>
      <c r="E81" s="72">
        <v>15685</v>
      </c>
      <c r="F81" s="108">
        <v>15738</v>
      </c>
      <c r="G81" s="72">
        <v>13372</v>
      </c>
      <c r="H81" s="72">
        <v>10481</v>
      </c>
      <c r="I81" s="72">
        <v>9680</v>
      </c>
      <c r="J81" s="72">
        <v>14527</v>
      </c>
      <c r="K81" s="72">
        <v>19300</v>
      </c>
      <c r="L81" s="72">
        <v>16741</v>
      </c>
      <c r="M81" s="72">
        <v>17523</v>
      </c>
    </row>
    <row r="82" spans="1:15" ht="17">
      <c r="A82" s="73" t="s">
        <v>155</v>
      </c>
      <c r="B82" s="74">
        <v>13118</v>
      </c>
      <c r="C82" s="74">
        <v>13973</v>
      </c>
      <c r="D82" s="74">
        <v>19121</v>
      </c>
      <c r="E82" s="74">
        <v>15685</v>
      </c>
      <c r="F82" s="109">
        <v>15738</v>
      </c>
      <c r="G82" s="74">
        <v>13372</v>
      </c>
      <c r="H82" s="74">
        <v>10481</v>
      </c>
      <c r="I82" s="74">
        <v>9680</v>
      </c>
      <c r="J82" s="74">
        <v>14527</v>
      </c>
      <c r="K82" s="74">
        <v>19300</v>
      </c>
      <c r="L82" s="74">
        <v>16741</v>
      </c>
      <c r="M82" s="74" t="s">
        <v>35</v>
      </c>
    </row>
    <row r="83" spans="1:15">
      <c r="A83" s="71" t="s">
        <v>156</v>
      </c>
      <c r="B83" s="75">
        <v>37037</v>
      </c>
      <c r="C83" s="75">
        <v>39510</v>
      </c>
      <c r="D83" s="75">
        <v>53394</v>
      </c>
      <c r="E83" s="75">
        <v>45687</v>
      </c>
      <c r="F83" s="110">
        <v>48351</v>
      </c>
      <c r="G83" s="75">
        <v>59531</v>
      </c>
      <c r="H83" s="75">
        <v>55256</v>
      </c>
      <c r="I83" s="75">
        <v>57411</v>
      </c>
      <c r="J83" s="75">
        <v>94680</v>
      </c>
      <c r="K83" s="75">
        <v>99803</v>
      </c>
      <c r="L83" s="75">
        <v>96995</v>
      </c>
      <c r="M83" s="75">
        <v>100913</v>
      </c>
      <c r="O83" s="29" t="s">
        <v>598</v>
      </c>
    </row>
    <row r="84" spans="1:15">
      <c r="A84" s="106" t="s">
        <v>595</v>
      </c>
      <c r="B84" s="107">
        <f>B81/B75</f>
        <v>0.26154919748778788</v>
      </c>
      <c r="C84" s="107">
        <f t="shared" ref="C84:M84" si="5">C81/C75</f>
        <v>0.26126058747639436</v>
      </c>
      <c r="D84" s="107">
        <f t="shared" si="5"/>
        <v>0.26368337585327173</v>
      </c>
      <c r="E84" s="107">
        <f t="shared" si="5"/>
        <v>0.25557257381216192</v>
      </c>
      <c r="F84" s="111">
        <f t="shared" si="5"/>
        <v>0.24556476150353415</v>
      </c>
      <c r="G84" s="107">
        <f t="shared" si="5"/>
        <v>0.18342180705869443</v>
      </c>
      <c r="H84" s="107">
        <f t="shared" si="5"/>
        <v>0.15943836804235059</v>
      </c>
      <c r="I84" s="107">
        <f t="shared" si="5"/>
        <v>0.14428164731484103</v>
      </c>
      <c r="J84" s="107">
        <f t="shared" si="5"/>
        <v>0.13302260844085087</v>
      </c>
      <c r="K84" s="107">
        <f t="shared" si="5"/>
        <v>0.16204461684424407</v>
      </c>
      <c r="L84" s="107">
        <f t="shared" si="5"/>
        <v>0.14719174228036858</v>
      </c>
      <c r="M84" s="107">
        <f t="shared" si="5"/>
        <v>0.14795332500253303</v>
      </c>
      <c r="O84" s="126">
        <f>AVERAGE(H84:L84)</f>
        <v>0.14919579658453103</v>
      </c>
    </row>
    <row r="85" spans="1:15">
      <c r="A85" s="106" t="s">
        <v>596</v>
      </c>
      <c r="B85" s="107">
        <f>B81/B79</f>
        <v>0.26154919748778788</v>
      </c>
      <c r="C85" s="107">
        <f t="shared" ref="C85:M85" si="6">C81/C79</f>
        <v>0.26126058747639436</v>
      </c>
      <c r="D85" s="107">
        <f t="shared" si="6"/>
        <v>0.26368337585327173</v>
      </c>
      <c r="E85" s="107">
        <f t="shared" si="6"/>
        <v>0.25557257381216192</v>
      </c>
      <c r="F85" s="111">
        <f t="shared" si="6"/>
        <v>0.24556476150353415</v>
      </c>
      <c r="G85" s="107">
        <f t="shared" si="6"/>
        <v>0.18342180705869443</v>
      </c>
      <c r="H85" s="107">
        <f t="shared" si="6"/>
        <v>0.15943836804235059</v>
      </c>
      <c r="I85" s="107">
        <f t="shared" si="6"/>
        <v>0.14428164731484103</v>
      </c>
      <c r="J85" s="107">
        <f t="shared" si="6"/>
        <v>0.13302260844085087</v>
      </c>
      <c r="K85" s="107">
        <f t="shared" si="6"/>
        <v>0.16204461684424407</v>
      </c>
      <c r="L85" s="107">
        <f t="shared" si="6"/>
        <v>0.14719174228036858</v>
      </c>
      <c r="M85" s="107">
        <f t="shared" si="6"/>
        <v>0.14795332500253303</v>
      </c>
      <c r="O85" s="35">
        <f>AVERAGE(H85:L85)</f>
        <v>0.14919579658453103</v>
      </c>
    </row>
    <row r="86" spans="1:15">
      <c r="A86" s="62"/>
      <c r="B86" s="62"/>
      <c r="C86" s="62"/>
      <c r="D86" s="62"/>
      <c r="E86" s="62"/>
      <c r="F86" s="62"/>
      <c r="G86" s="62"/>
      <c r="H86" s="62"/>
      <c r="I86" s="62"/>
      <c r="J86" s="62"/>
      <c r="K86" s="62"/>
      <c r="L86" s="62"/>
      <c r="M86" s="62"/>
    </row>
    <row r="87" spans="1:15" ht="17">
      <c r="A87" s="62" t="s">
        <v>157</v>
      </c>
      <c r="B87" s="72" t="s">
        <v>35</v>
      </c>
      <c r="C87" s="72" t="s">
        <v>35</v>
      </c>
      <c r="D87" s="72" t="s">
        <v>35</v>
      </c>
      <c r="E87" s="72" t="s">
        <v>35</v>
      </c>
      <c r="F87" s="72" t="s">
        <v>35</v>
      </c>
      <c r="G87" s="72" t="s">
        <v>35</v>
      </c>
      <c r="H87" s="72" t="s">
        <v>35</v>
      </c>
      <c r="I87" s="72" t="s">
        <v>35</v>
      </c>
      <c r="J87" s="72" t="s">
        <v>35</v>
      </c>
      <c r="K87" s="72" t="s">
        <v>35</v>
      </c>
      <c r="L87" s="72" t="s">
        <v>35</v>
      </c>
      <c r="M87" s="72" t="s">
        <v>35</v>
      </c>
    </row>
    <row r="88" spans="1:15" ht="17">
      <c r="A88" s="62" t="s">
        <v>158</v>
      </c>
      <c r="B88" s="72" t="s">
        <v>35</v>
      </c>
      <c r="C88" s="72" t="s">
        <v>35</v>
      </c>
      <c r="D88" s="72" t="s">
        <v>35</v>
      </c>
      <c r="E88" s="72" t="s">
        <v>35</v>
      </c>
      <c r="F88" s="72" t="s">
        <v>35</v>
      </c>
      <c r="G88" s="72" t="s">
        <v>35</v>
      </c>
      <c r="H88" s="72" t="s">
        <v>35</v>
      </c>
      <c r="I88" s="72" t="s">
        <v>35</v>
      </c>
      <c r="J88" s="72" t="s">
        <v>35</v>
      </c>
      <c r="K88" s="72" t="s">
        <v>35</v>
      </c>
      <c r="L88" s="72" t="s">
        <v>35</v>
      </c>
      <c r="M88" s="72" t="s">
        <v>35</v>
      </c>
    </row>
    <row r="89" spans="1:15">
      <c r="A89" s="71" t="s">
        <v>159</v>
      </c>
      <c r="B89" s="75">
        <v>37037</v>
      </c>
      <c r="C89" s="75">
        <v>39510</v>
      </c>
      <c r="D89" s="75">
        <v>53394</v>
      </c>
      <c r="E89" s="75">
        <v>45687</v>
      </c>
      <c r="F89" s="75">
        <v>48351</v>
      </c>
      <c r="G89" s="75">
        <v>59531</v>
      </c>
      <c r="H89" s="75">
        <v>55256</v>
      </c>
      <c r="I89" s="75">
        <v>57411</v>
      </c>
      <c r="J89" s="75">
        <v>94680</v>
      </c>
      <c r="K89" s="75">
        <v>99803</v>
      </c>
      <c r="L89" s="75">
        <v>96995</v>
      </c>
      <c r="M89" s="75">
        <v>100913</v>
      </c>
    </row>
    <row r="90" spans="1:15">
      <c r="A90" s="62"/>
      <c r="B90" s="62"/>
      <c r="C90" s="62"/>
      <c r="D90" s="62"/>
      <c r="E90" s="62"/>
      <c r="F90" s="62"/>
      <c r="G90" s="62"/>
      <c r="H90" s="62"/>
      <c r="I90" s="62"/>
      <c r="J90" s="62"/>
      <c r="K90" s="62"/>
      <c r="L90" s="62"/>
      <c r="M90" s="62"/>
    </row>
    <row r="91" spans="1:15" ht="17">
      <c r="A91" s="62" t="s">
        <v>160</v>
      </c>
      <c r="B91" s="72" t="s">
        <v>35</v>
      </c>
      <c r="C91" s="72" t="s">
        <v>35</v>
      </c>
      <c r="D91" s="72" t="s">
        <v>35</v>
      </c>
      <c r="E91" s="72" t="s">
        <v>35</v>
      </c>
      <c r="F91" s="72" t="s">
        <v>35</v>
      </c>
      <c r="G91" s="72" t="s">
        <v>35</v>
      </c>
      <c r="H91" s="72" t="s">
        <v>35</v>
      </c>
      <c r="I91" s="72" t="s">
        <v>35</v>
      </c>
      <c r="J91" s="72" t="s">
        <v>35</v>
      </c>
      <c r="K91" s="72" t="s">
        <v>35</v>
      </c>
      <c r="L91" s="72" t="s">
        <v>35</v>
      </c>
      <c r="M91" s="72" t="s">
        <v>35</v>
      </c>
    </row>
    <row r="92" spans="1:15">
      <c r="A92" s="71" t="s">
        <v>161</v>
      </c>
      <c r="B92" s="77">
        <v>37037</v>
      </c>
      <c r="C92" s="77">
        <v>39510</v>
      </c>
      <c r="D92" s="77">
        <v>53394</v>
      </c>
      <c r="E92" s="77">
        <v>45687</v>
      </c>
      <c r="F92" s="77">
        <v>48351</v>
      </c>
      <c r="G92" s="77">
        <v>59531</v>
      </c>
      <c r="H92" s="77">
        <v>55256</v>
      </c>
      <c r="I92" s="77">
        <v>57411</v>
      </c>
      <c r="J92" s="77">
        <v>94680</v>
      </c>
      <c r="K92" s="77">
        <v>99803</v>
      </c>
      <c r="L92" s="77">
        <v>96995</v>
      </c>
      <c r="M92" s="77">
        <v>100913</v>
      </c>
    </row>
    <row r="93" spans="1:15">
      <c r="A93" s="62"/>
      <c r="B93" s="62"/>
      <c r="C93" s="62"/>
      <c r="D93" s="62"/>
      <c r="E93" s="62"/>
      <c r="F93" s="62"/>
      <c r="G93" s="62"/>
      <c r="H93" s="62"/>
      <c r="I93" s="62"/>
      <c r="J93" s="62"/>
      <c r="K93" s="62"/>
      <c r="L93" s="62"/>
      <c r="M93" s="62"/>
    </row>
    <row r="94" spans="1:15" ht="17">
      <c r="A94" s="62" t="s">
        <v>162</v>
      </c>
      <c r="B94" s="72" t="s">
        <v>35</v>
      </c>
      <c r="C94" s="72" t="s">
        <v>35</v>
      </c>
      <c r="D94" s="72" t="s">
        <v>35</v>
      </c>
      <c r="E94" s="72" t="s">
        <v>35</v>
      </c>
      <c r="F94" s="72" t="s">
        <v>35</v>
      </c>
      <c r="G94" s="72" t="s">
        <v>35</v>
      </c>
      <c r="H94" s="72" t="s">
        <v>35</v>
      </c>
      <c r="I94" s="72" t="s">
        <v>35</v>
      </c>
      <c r="J94" s="72" t="s">
        <v>35</v>
      </c>
      <c r="K94" s="72" t="s">
        <v>35</v>
      </c>
      <c r="L94" s="72" t="s">
        <v>35</v>
      </c>
      <c r="M94" s="72" t="s">
        <v>35</v>
      </c>
    </row>
    <row r="95" spans="1:15">
      <c r="A95" s="62"/>
      <c r="B95" s="62"/>
      <c r="C95" s="62"/>
      <c r="D95" s="62"/>
      <c r="E95" s="62"/>
      <c r="F95" s="62"/>
      <c r="G95" s="62"/>
      <c r="H95" s="62"/>
      <c r="I95" s="62"/>
      <c r="J95" s="62"/>
      <c r="K95" s="62"/>
      <c r="L95" s="62"/>
      <c r="M95" s="62"/>
    </row>
    <row r="96" spans="1:15">
      <c r="A96" s="71" t="s">
        <v>163</v>
      </c>
      <c r="B96" s="76">
        <v>37037</v>
      </c>
      <c r="C96" s="76">
        <v>39510</v>
      </c>
      <c r="D96" s="76">
        <v>53394</v>
      </c>
      <c r="E96" s="76">
        <v>45687</v>
      </c>
      <c r="F96" s="76">
        <v>48351</v>
      </c>
      <c r="G96" s="76">
        <v>59531</v>
      </c>
      <c r="H96" s="76">
        <v>55256</v>
      </c>
      <c r="I96" s="76">
        <v>57411</v>
      </c>
      <c r="J96" s="76">
        <v>94680</v>
      </c>
      <c r="K96" s="76">
        <v>99803</v>
      </c>
      <c r="L96" s="76">
        <v>96995</v>
      </c>
      <c r="M96" s="76">
        <v>100913</v>
      </c>
    </row>
    <row r="97" spans="1:15">
      <c r="A97" s="71" t="s">
        <v>164</v>
      </c>
      <c r="B97" s="76">
        <v>37037</v>
      </c>
      <c r="C97" s="76">
        <v>39510</v>
      </c>
      <c r="D97" s="76">
        <v>53394</v>
      </c>
      <c r="E97" s="76">
        <v>45687</v>
      </c>
      <c r="F97" s="76">
        <v>48351</v>
      </c>
      <c r="G97" s="76">
        <v>59531</v>
      </c>
      <c r="H97" s="76">
        <v>55256</v>
      </c>
      <c r="I97" s="76">
        <v>57411</v>
      </c>
      <c r="J97" s="76">
        <v>94680</v>
      </c>
      <c r="K97" s="76">
        <v>99803</v>
      </c>
      <c r="L97" s="76">
        <v>96995</v>
      </c>
      <c r="M97" s="76">
        <v>100913</v>
      </c>
    </row>
    <row r="98" spans="1:15">
      <c r="A98" s="62"/>
      <c r="B98" s="62"/>
      <c r="C98" s="62"/>
      <c r="D98" s="62"/>
      <c r="E98" s="62"/>
      <c r="F98" s="62"/>
      <c r="G98" s="62"/>
      <c r="H98" s="62"/>
      <c r="I98" s="62"/>
      <c r="J98" s="62"/>
      <c r="K98" s="62"/>
      <c r="L98" s="62"/>
      <c r="M98" s="62"/>
    </row>
    <row r="99" spans="1:15">
      <c r="A99" s="71" t="s">
        <v>165</v>
      </c>
      <c r="B99" s="62"/>
      <c r="C99" s="62"/>
      <c r="D99" s="62"/>
      <c r="E99" s="62"/>
      <c r="F99" s="62"/>
      <c r="G99" s="62"/>
      <c r="H99" s="62"/>
      <c r="I99" s="62"/>
      <c r="J99" s="62"/>
      <c r="K99" s="62"/>
      <c r="L99" s="62"/>
      <c r="M99" s="62"/>
    </row>
    <row r="100" spans="1:15">
      <c r="A100" s="62" t="s">
        <v>166</v>
      </c>
      <c r="B100" s="78">
        <v>1.43</v>
      </c>
      <c r="C100" s="78">
        <v>1.62</v>
      </c>
      <c r="D100" s="78">
        <v>2.3199999999999998</v>
      </c>
      <c r="E100" s="78">
        <v>2.09</v>
      </c>
      <c r="F100" s="78">
        <v>2.3199999999999998</v>
      </c>
      <c r="G100" s="78">
        <v>3</v>
      </c>
      <c r="H100" s="78">
        <v>2.99</v>
      </c>
      <c r="I100" s="78">
        <v>3.31</v>
      </c>
      <c r="J100" s="78">
        <v>5.67</v>
      </c>
      <c r="K100" s="78">
        <v>6.15</v>
      </c>
      <c r="L100" s="78">
        <v>6.16</v>
      </c>
      <c r="M100" s="78">
        <v>6.45</v>
      </c>
    </row>
    <row r="101" spans="1:15">
      <c r="A101" s="62" t="s">
        <v>167</v>
      </c>
      <c r="B101" s="79">
        <v>1.429487</v>
      </c>
      <c r="C101" s="79">
        <v>1.6231009999999999</v>
      </c>
      <c r="D101" s="79">
        <v>2.3200970000000001</v>
      </c>
      <c r="E101" s="79">
        <v>2.087758</v>
      </c>
      <c r="F101" s="79">
        <v>2.3168850000000001</v>
      </c>
      <c r="G101" s="79">
        <v>3.0033530000000002</v>
      </c>
      <c r="H101" s="79">
        <v>2.9914450000000001</v>
      </c>
      <c r="I101" s="79">
        <v>3.3085870000000002</v>
      </c>
      <c r="J101" s="79">
        <v>5.6690290000000001</v>
      </c>
      <c r="K101" s="79">
        <v>6.1546139999999996</v>
      </c>
      <c r="L101" s="79">
        <v>6.1606690000000004</v>
      </c>
      <c r="M101" s="79">
        <v>6.4487360000000002</v>
      </c>
    </row>
    <row r="102" spans="1:15">
      <c r="A102" s="62" t="s">
        <v>168</v>
      </c>
      <c r="B102" s="72">
        <v>25909.279999999999</v>
      </c>
      <c r="C102" s="72">
        <v>24342.288</v>
      </c>
      <c r="D102" s="72">
        <v>23013.684000000001</v>
      </c>
      <c r="E102" s="72">
        <v>21883.279999999999</v>
      </c>
      <c r="F102" s="72">
        <v>20868.968000000001</v>
      </c>
      <c r="G102" s="72">
        <v>19821.509999999998</v>
      </c>
      <c r="H102" s="72">
        <v>18471.335999999999</v>
      </c>
      <c r="I102" s="72">
        <v>17352.118999999999</v>
      </c>
      <c r="J102" s="72">
        <v>16701.272000000001</v>
      </c>
      <c r="K102" s="72">
        <v>16215.963</v>
      </c>
      <c r="L102" s="72">
        <v>15744.231</v>
      </c>
      <c r="M102" s="72">
        <v>15648.491</v>
      </c>
    </row>
    <row r="103" spans="1:15">
      <c r="A103" s="62"/>
      <c r="B103" s="62"/>
      <c r="C103" s="62"/>
      <c r="D103" s="62"/>
      <c r="E103" s="62"/>
      <c r="F103" s="62"/>
      <c r="G103" s="62"/>
      <c r="H103" s="62"/>
      <c r="I103" s="62"/>
      <c r="J103" s="62"/>
      <c r="K103" s="62"/>
      <c r="L103" s="62"/>
      <c r="M103" s="62"/>
    </row>
    <row r="104" spans="1:15">
      <c r="A104" s="62" t="s">
        <v>169</v>
      </c>
      <c r="B104" s="78">
        <v>1.42</v>
      </c>
      <c r="C104" s="78">
        <v>1.61</v>
      </c>
      <c r="D104" s="78">
        <v>2.31</v>
      </c>
      <c r="E104" s="78">
        <v>2.08</v>
      </c>
      <c r="F104" s="78">
        <v>2.2999999999999998</v>
      </c>
      <c r="G104" s="78">
        <v>2.98</v>
      </c>
      <c r="H104" s="78">
        <v>2.97</v>
      </c>
      <c r="I104" s="78">
        <v>3.28</v>
      </c>
      <c r="J104" s="78">
        <v>5.61</v>
      </c>
      <c r="K104" s="78">
        <v>6.11</v>
      </c>
      <c r="L104" s="78">
        <v>6.13</v>
      </c>
      <c r="M104" s="78">
        <v>6.42</v>
      </c>
    </row>
    <row r="105" spans="1:15">
      <c r="A105" s="62" t="s">
        <v>170</v>
      </c>
      <c r="B105" s="79">
        <v>1.42</v>
      </c>
      <c r="C105" s="79">
        <v>1.6125</v>
      </c>
      <c r="D105" s="79">
        <v>2.3050000000000002</v>
      </c>
      <c r="E105" s="79">
        <v>2.0775000000000001</v>
      </c>
      <c r="F105" s="79">
        <v>2.3025000000000002</v>
      </c>
      <c r="G105" s="79">
        <v>2.98</v>
      </c>
      <c r="H105" s="79">
        <v>2.97</v>
      </c>
      <c r="I105" s="79">
        <v>3.28</v>
      </c>
      <c r="J105" s="79">
        <v>5.61</v>
      </c>
      <c r="K105" s="79">
        <v>6.11</v>
      </c>
      <c r="L105" s="79">
        <v>6.13</v>
      </c>
      <c r="M105" s="79">
        <v>6.4189249999999998</v>
      </c>
      <c r="O105" s="29" t="s">
        <v>670</v>
      </c>
    </row>
    <row r="106" spans="1:15">
      <c r="A106" s="62" t="s">
        <v>171</v>
      </c>
      <c r="B106" s="72">
        <v>26086.536</v>
      </c>
      <c r="C106" s="72">
        <v>24490.651999999998</v>
      </c>
      <c r="D106" s="72">
        <v>23172.276000000002</v>
      </c>
      <c r="E106" s="72">
        <v>22001.124</v>
      </c>
      <c r="F106" s="72">
        <v>21006.768</v>
      </c>
      <c r="G106" s="72">
        <v>20000.435000000001</v>
      </c>
      <c r="H106" s="72">
        <v>18595.651000000002</v>
      </c>
      <c r="I106" s="72">
        <v>17528.214</v>
      </c>
      <c r="J106" s="72">
        <v>16864.919000000002</v>
      </c>
      <c r="K106" s="72">
        <v>16325.819</v>
      </c>
      <c r="L106" s="72">
        <v>15812.547</v>
      </c>
      <c r="M106" s="72">
        <v>15717.777749999999</v>
      </c>
      <c r="O106" s="123">
        <f>M106/M102</f>
        <v>1.0044276952966262</v>
      </c>
    </row>
    <row r="107" spans="1:15">
      <c r="A107" s="62"/>
      <c r="B107" s="62"/>
      <c r="C107" s="62"/>
      <c r="D107" s="62"/>
      <c r="E107" s="62"/>
      <c r="F107" s="62"/>
      <c r="G107" s="62"/>
      <c r="H107" s="62"/>
      <c r="I107" s="62"/>
      <c r="J107" s="62"/>
      <c r="K107" s="62"/>
      <c r="L107" s="62"/>
      <c r="M107" s="62"/>
    </row>
    <row r="108" spans="1:15">
      <c r="A108" s="62" t="s">
        <v>172</v>
      </c>
      <c r="B108" s="78">
        <v>1.21</v>
      </c>
      <c r="C108" s="78">
        <v>1.37</v>
      </c>
      <c r="D108" s="78">
        <v>1.97</v>
      </c>
      <c r="E108" s="78">
        <v>1.75</v>
      </c>
      <c r="F108" s="78">
        <v>1.92</v>
      </c>
      <c r="G108" s="78">
        <v>2.2999999999999998</v>
      </c>
      <c r="H108" s="78">
        <v>2.2200000000000002</v>
      </c>
      <c r="I108" s="78">
        <v>2.42</v>
      </c>
      <c r="J108" s="78">
        <v>4.09</v>
      </c>
      <c r="K108" s="78">
        <v>4.59</v>
      </c>
      <c r="L108" s="78">
        <v>4.51</v>
      </c>
      <c r="M108" s="78">
        <v>4.7300000000000004</v>
      </c>
    </row>
    <row r="109" spans="1:15">
      <c r="A109" s="62" t="s">
        <v>173</v>
      </c>
      <c r="B109" s="79">
        <v>1.201649</v>
      </c>
      <c r="C109" s="79">
        <v>1.3648830000000001</v>
      </c>
      <c r="D109" s="79">
        <v>1.9558660000000001</v>
      </c>
      <c r="E109" s="79">
        <v>1.743433</v>
      </c>
      <c r="F109" s="79">
        <v>1.9067959999999999</v>
      </c>
      <c r="G109" s="79">
        <v>2.2781690000000001</v>
      </c>
      <c r="H109" s="79">
        <v>2.2094209999999999</v>
      </c>
      <c r="I109" s="79">
        <v>2.3922500000000002</v>
      </c>
      <c r="J109" s="79">
        <v>4.0471209999999997</v>
      </c>
      <c r="K109" s="79">
        <v>4.5596100000000002</v>
      </c>
      <c r="L109" s="79">
        <v>4.4954799999999997</v>
      </c>
      <c r="M109" s="79">
        <v>4.7094760000000004</v>
      </c>
    </row>
    <row r="110" spans="1:15">
      <c r="A110" s="62"/>
      <c r="B110" s="62"/>
      <c r="C110" s="62"/>
      <c r="D110" s="62"/>
      <c r="E110" s="62"/>
      <c r="F110" s="62"/>
      <c r="G110" s="62"/>
      <c r="H110" s="62"/>
      <c r="I110" s="62"/>
      <c r="J110" s="62"/>
      <c r="K110" s="62"/>
      <c r="L110" s="62"/>
      <c r="M110" s="62"/>
    </row>
    <row r="111" spans="1:15">
      <c r="A111" s="62" t="s">
        <v>174</v>
      </c>
      <c r="B111" s="78">
        <v>0.41</v>
      </c>
      <c r="C111" s="78">
        <v>0.46</v>
      </c>
      <c r="D111" s="78">
        <v>0.5</v>
      </c>
      <c r="E111" s="78">
        <v>0.55000000000000004</v>
      </c>
      <c r="F111" s="78">
        <v>0.6</v>
      </c>
      <c r="G111" s="78">
        <v>0.68</v>
      </c>
      <c r="H111" s="78">
        <v>0.75</v>
      </c>
      <c r="I111" s="78">
        <v>0.8</v>
      </c>
      <c r="J111" s="78">
        <v>0.85</v>
      </c>
      <c r="K111" s="78">
        <v>0.9</v>
      </c>
      <c r="L111" s="78">
        <v>0.94</v>
      </c>
      <c r="M111" s="78">
        <v>0.95</v>
      </c>
    </row>
    <row r="112" spans="1:15">
      <c r="A112" s="62" t="s">
        <v>175</v>
      </c>
      <c r="B112" s="80">
        <v>0.28522799999999998</v>
      </c>
      <c r="C112" s="80">
        <v>0.28159899999999999</v>
      </c>
      <c r="D112" s="80">
        <v>0.21652199999999999</v>
      </c>
      <c r="E112" s="80">
        <v>0.26593899999999998</v>
      </c>
      <c r="F112" s="80">
        <v>0.26408900000000002</v>
      </c>
      <c r="G112" s="80">
        <v>0.23033300000000001</v>
      </c>
      <c r="H112" s="80">
        <v>0.255519</v>
      </c>
      <c r="I112" s="80">
        <v>0.24526600000000001</v>
      </c>
      <c r="J112" s="80">
        <v>0.15279799999999999</v>
      </c>
      <c r="K112" s="80">
        <v>0.148702</v>
      </c>
      <c r="L112" s="80">
        <v>0.15490399999999999</v>
      </c>
      <c r="M112" s="80">
        <v>0.149455</v>
      </c>
    </row>
    <row r="113" spans="1:13">
      <c r="A113" s="62"/>
      <c r="B113" s="62"/>
      <c r="C113" s="62"/>
      <c r="D113" s="62"/>
      <c r="E113" s="62"/>
      <c r="F113" s="62"/>
      <c r="G113" s="62"/>
      <c r="H113" s="62"/>
      <c r="I113" s="62"/>
      <c r="J113" s="62"/>
      <c r="K113" s="62"/>
      <c r="L113" s="62"/>
      <c r="M113" s="62"/>
    </row>
    <row r="114" spans="1:13">
      <c r="A114" s="62" t="s">
        <v>176</v>
      </c>
      <c r="B114" s="81">
        <v>0.1</v>
      </c>
      <c r="C114" s="81">
        <v>0.1</v>
      </c>
      <c r="D114" s="81">
        <v>0.1</v>
      </c>
      <c r="E114" s="81">
        <v>0.1</v>
      </c>
      <c r="F114" s="81">
        <v>0.1</v>
      </c>
      <c r="G114" s="81">
        <v>0.1</v>
      </c>
      <c r="H114" s="81">
        <v>0.1</v>
      </c>
      <c r="I114" s="81">
        <v>0.1</v>
      </c>
      <c r="J114" s="81">
        <v>0.1</v>
      </c>
      <c r="K114" s="81">
        <v>0.1</v>
      </c>
      <c r="L114" s="81">
        <v>0.1</v>
      </c>
      <c r="M114" s="81">
        <v>0.1</v>
      </c>
    </row>
    <row r="115" spans="1:13">
      <c r="A115" s="62"/>
      <c r="B115" s="62"/>
      <c r="C115" s="62"/>
      <c r="D115" s="62"/>
      <c r="E115" s="62"/>
      <c r="F115" s="62"/>
      <c r="G115" s="62"/>
      <c r="H115" s="62"/>
      <c r="I115" s="62"/>
      <c r="J115" s="62"/>
      <c r="K115" s="62"/>
      <c r="L115" s="62"/>
      <c r="M115" s="62"/>
    </row>
    <row r="116" spans="1:13">
      <c r="A116" s="71" t="s">
        <v>177</v>
      </c>
      <c r="B116" s="62"/>
      <c r="C116" s="62"/>
      <c r="D116" s="62"/>
      <c r="E116" s="62"/>
      <c r="F116" s="62"/>
      <c r="G116" s="62"/>
      <c r="H116" s="62"/>
      <c r="I116" s="62"/>
      <c r="J116" s="62"/>
      <c r="K116" s="62"/>
      <c r="L116" s="62"/>
      <c r="M116" s="62"/>
    </row>
    <row r="117" spans="1:13">
      <c r="A117" s="62" t="s">
        <v>37</v>
      </c>
      <c r="B117" s="72">
        <v>55756</v>
      </c>
      <c r="C117" s="72">
        <v>60449</v>
      </c>
      <c r="D117" s="72">
        <v>82487</v>
      </c>
      <c r="E117" s="72">
        <v>70529</v>
      </c>
      <c r="F117" s="72">
        <v>71501</v>
      </c>
      <c r="G117" s="72">
        <v>81801</v>
      </c>
      <c r="H117" s="72">
        <v>76477</v>
      </c>
      <c r="I117" s="72">
        <v>77344</v>
      </c>
      <c r="J117" s="72">
        <v>120233</v>
      </c>
      <c r="K117" s="72">
        <v>130541</v>
      </c>
      <c r="L117" s="72">
        <v>125820</v>
      </c>
      <c r="M117" s="72">
        <v>130109</v>
      </c>
    </row>
    <row r="118" spans="1:13">
      <c r="A118" s="62" t="s">
        <v>178</v>
      </c>
      <c r="B118" s="72">
        <v>49959</v>
      </c>
      <c r="C118" s="72">
        <v>53603</v>
      </c>
      <c r="D118" s="72">
        <v>72530</v>
      </c>
      <c r="E118" s="72">
        <v>60024</v>
      </c>
      <c r="F118" s="72">
        <v>61344</v>
      </c>
      <c r="G118" s="72">
        <v>70898</v>
      </c>
      <c r="H118" s="72">
        <v>63930</v>
      </c>
      <c r="I118" s="72">
        <v>66288</v>
      </c>
      <c r="J118" s="72">
        <v>108949</v>
      </c>
      <c r="K118" s="72">
        <v>119437</v>
      </c>
      <c r="L118" s="72">
        <v>114301</v>
      </c>
      <c r="M118" s="72">
        <v>118658</v>
      </c>
    </row>
    <row r="119" spans="1:13">
      <c r="A119" s="62" t="s">
        <v>38</v>
      </c>
      <c r="B119" s="72">
        <v>48999</v>
      </c>
      <c r="C119" s="72">
        <v>52503</v>
      </c>
      <c r="D119" s="72">
        <v>71230</v>
      </c>
      <c r="E119" s="72">
        <v>60024</v>
      </c>
      <c r="F119" s="72">
        <v>61344</v>
      </c>
      <c r="G119" s="72">
        <v>70898</v>
      </c>
      <c r="H119" s="72">
        <v>63930</v>
      </c>
      <c r="I119" s="72">
        <v>66288</v>
      </c>
      <c r="J119" s="72">
        <v>108949</v>
      </c>
      <c r="K119" s="72">
        <v>119437</v>
      </c>
      <c r="L119" s="72">
        <v>114301</v>
      </c>
      <c r="M119" s="72">
        <v>118658</v>
      </c>
    </row>
    <row r="120" spans="1:13" ht="17">
      <c r="A120" s="62" t="s">
        <v>179</v>
      </c>
      <c r="B120" s="72">
        <v>56401</v>
      </c>
      <c r="C120" s="72">
        <v>61166</v>
      </c>
      <c r="D120" s="72">
        <v>83281</v>
      </c>
      <c r="E120" s="72">
        <v>71468</v>
      </c>
      <c r="F120" s="72">
        <v>72601</v>
      </c>
      <c r="G120" s="72">
        <v>83001</v>
      </c>
      <c r="H120" s="72">
        <v>77777</v>
      </c>
      <c r="I120" s="72">
        <v>88144</v>
      </c>
      <c r="J120" s="72">
        <v>134833</v>
      </c>
      <c r="K120" s="72">
        <v>147341</v>
      </c>
      <c r="L120" s="72">
        <v>141720</v>
      </c>
      <c r="M120" s="72" t="s">
        <v>180</v>
      </c>
    </row>
    <row r="121" spans="1:13" ht="17">
      <c r="A121" s="62" t="s">
        <v>181</v>
      </c>
      <c r="B121" s="72" t="s">
        <v>180</v>
      </c>
      <c r="C121" s="72" t="s">
        <v>180</v>
      </c>
      <c r="D121" s="72" t="s">
        <v>180</v>
      </c>
      <c r="E121" s="72" t="s">
        <v>180</v>
      </c>
      <c r="F121" s="72">
        <v>229234</v>
      </c>
      <c r="G121" s="72">
        <v>265595</v>
      </c>
      <c r="H121" s="72">
        <v>260174</v>
      </c>
      <c r="I121" s="72">
        <v>274515</v>
      </c>
      <c r="J121" s="72">
        <v>365817</v>
      </c>
      <c r="K121" s="72">
        <v>394328</v>
      </c>
      <c r="L121" s="72">
        <v>383285</v>
      </c>
      <c r="M121" s="72">
        <v>385706</v>
      </c>
    </row>
    <row r="122" spans="1:13">
      <c r="A122" s="62" t="s">
        <v>182</v>
      </c>
      <c r="B122" s="80">
        <v>0.26154899999999998</v>
      </c>
      <c r="C122" s="80">
        <v>0.26125999999999999</v>
      </c>
      <c r="D122" s="80">
        <v>0.263683</v>
      </c>
      <c r="E122" s="80">
        <v>0.25557200000000002</v>
      </c>
      <c r="F122" s="80">
        <v>0.245564</v>
      </c>
      <c r="G122" s="80">
        <v>0.183421</v>
      </c>
      <c r="H122" s="80">
        <v>0.159438</v>
      </c>
      <c r="I122" s="80">
        <v>0.14428099999999999</v>
      </c>
      <c r="J122" s="80">
        <v>0.133022</v>
      </c>
      <c r="K122" s="80">
        <v>0.16204399999999999</v>
      </c>
      <c r="L122" s="80">
        <v>0.14719099999999999</v>
      </c>
      <c r="M122" s="80">
        <v>0.147953</v>
      </c>
    </row>
    <row r="123" spans="1:13">
      <c r="A123" s="62" t="s">
        <v>183</v>
      </c>
      <c r="B123" s="72">
        <v>10418</v>
      </c>
      <c r="C123" s="72">
        <v>9479</v>
      </c>
      <c r="D123" s="72">
        <v>12995</v>
      </c>
      <c r="E123" s="72">
        <v>8642</v>
      </c>
      <c r="F123" s="72">
        <v>8101</v>
      </c>
      <c r="G123" s="72">
        <v>41976</v>
      </c>
      <c r="H123" s="72">
        <v>6859</v>
      </c>
      <c r="I123" s="72">
        <v>6761</v>
      </c>
      <c r="J123" s="72">
        <v>9877</v>
      </c>
      <c r="K123" s="72">
        <v>9409</v>
      </c>
      <c r="L123" s="72">
        <v>11015</v>
      </c>
      <c r="M123" s="72">
        <v>11015</v>
      </c>
    </row>
    <row r="124" spans="1:13">
      <c r="A124" s="62" t="s">
        <v>184</v>
      </c>
      <c r="B124" s="72">
        <v>1559</v>
      </c>
      <c r="C124" s="72">
        <v>2147</v>
      </c>
      <c r="D124" s="72">
        <v>4744</v>
      </c>
      <c r="E124" s="72">
        <v>2105</v>
      </c>
      <c r="F124" s="72">
        <v>1671</v>
      </c>
      <c r="G124" s="72">
        <v>3986</v>
      </c>
      <c r="H124" s="72">
        <v>3962</v>
      </c>
      <c r="I124" s="72">
        <v>3134</v>
      </c>
      <c r="J124" s="72">
        <v>9424</v>
      </c>
      <c r="K124" s="72">
        <v>8996</v>
      </c>
      <c r="L124" s="72">
        <v>8750</v>
      </c>
      <c r="M124" s="72">
        <v>8750</v>
      </c>
    </row>
    <row r="125" spans="1:13">
      <c r="A125" s="62" t="s">
        <v>185</v>
      </c>
      <c r="B125" s="72">
        <v>11977</v>
      </c>
      <c r="C125" s="72">
        <v>11626</v>
      </c>
      <c r="D125" s="72">
        <v>17739</v>
      </c>
      <c r="E125" s="72">
        <v>10747</v>
      </c>
      <c r="F125" s="72">
        <v>9772</v>
      </c>
      <c r="G125" s="72">
        <v>45962</v>
      </c>
      <c r="H125" s="72">
        <v>10821</v>
      </c>
      <c r="I125" s="72">
        <v>9895</v>
      </c>
      <c r="J125" s="72">
        <v>19301</v>
      </c>
      <c r="K125" s="72">
        <v>18405</v>
      </c>
      <c r="L125" s="72">
        <v>19765</v>
      </c>
      <c r="M125" s="72">
        <v>19765</v>
      </c>
    </row>
    <row r="126" spans="1:13">
      <c r="A126" s="62" t="s">
        <v>186</v>
      </c>
      <c r="B126" s="72">
        <v>1567</v>
      </c>
      <c r="C126" s="72">
        <v>3005</v>
      </c>
      <c r="D126" s="72">
        <v>3188</v>
      </c>
      <c r="E126" s="72">
        <v>4905</v>
      </c>
      <c r="F126" s="72">
        <v>5982</v>
      </c>
      <c r="G126" s="72">
        <v>-33771</v>
      </c>
      <c r="H126" s="72">
        <v>-3006</v>
      </c>
      <c r="I126" s="72">
        <v>-3598</v>
      </c>
      <c r="J126" s="72">
        <v>-7514</v>
      </c>
      <c r="K126" s="72">
        <v>-2181</v>
      </c>
      <c r="L126" s="72">
        <v>-3693</v>
      </c>
      <c r="M126" s="72">
        <v>-3693</v>
      </c>
    </row>
    <row r="127" spans="1:13">
      <c r="A127" s="62" t="s">
        <v>187</v>
      </c>
      <c r="B127" s="72">
        <v>-426</v>
      </c>
      <c r="C127" s="72">
        <v>-658</v>
      </c>
      <c r="D127" s="72">
        <v>-1806</v>
      </c>
      <c r="E127" s="72">
        <v>33</v>
      </c>
      <c r="F127" s="72">
        <v>-16</v>
      </c>
      <c r="G127" s="72">
        <v>1181</v>
      </c>
      <c r="H127" s="72">
        <v>2666</v>
      </c>
      <c r="I127" s="72">
        <v>3383</v>
      </c>
      <c r="J127" s="72">
        <v>2740</v>
      </c>
      <c r="K127" s="72">
        <v>3076</v>
      </c>
      <c r="L127" s="72">
        <v>669</v>
      </c>
      <c r="M127" s="72">
        <v>669</v>
      </c>
    </row>
    <row r="128" spans="1:13">
      <c r="A128" s="62" t="s">
        <v>188</v>
      </c>
      <c r="B128" s="72">
        <v>1141</v>
      </c>
      <c r="C128" s="72">
        <v>2347</v>
      </c>
      <c r="D128" s="72">
        <v>1382</v>
      </c>
      <c r="E128" s="72">
        <v>4938</v>
      </c>
      <c r="F128" s="72">
        <v>5966</v>
      </c>
      <c r="G128" s="72">
        <v>-32590</v>
      </c>
      <c r="H128" s="72">
        <v>-340</v>
      </c>
      <c r="I128" s="72">
        <v>-215</v>
      </c>
      <c r="J128" s="72">
        <v>-4774</v>
      </c>
      <c r="K128" s="72">
        <v>895</v>
      </c>
      <c r="L128" s="72">
        <v>-3024</v>
      </c>
      <c r="M128" s="72">
        <v>-3024</v>
      </c>
    </row>
    <row r="129" spans="1:13">
      <c r="A129" s="62"/>
      <c r="B129" s="62"/>
      <c r="C129" s="62"/>
      <c r="D129" s="62"/>
      <c r="E129" s="62"/>
      <c r="F129" s="62"/>
      <c r="G129" s="62"/>
      <c r="H129" s="62"/>
      <c r="I129" s="62"/>
      <c r="J129" s="62"/>
      <c r="K129" s="62"/>
      <c r="L129" s="62"/>
      <c r="M129" s="62"/>
    </row>
    <row r="130" spans="1:13">
      <c r="A130" s="62" t="s">
        <v>189</v>
      </c>
      <c r="B130" s="72">
        <v>31346.875</v>
      </c>
      <c r="C130" s="72">
        <v>33426.875</v>
      </c>
      <c r="D130" s="72">
        <v>45321.875</v>
      </c>
      <c r="E130" s="72">
        <v>38357.5</v>
      </c>
      <c r="F130" s="72">
        <v>40055.625</v>
      </c>
      <c r="G130" s="72">
        <v>45564.375</v>
      </c>
      <c r="H130" s="72">
        <v>41085.625</v>
      </c>
      <c r="I130" s="72">
        <v>41931.875</v>
      </c>
      <c r="J130" s="72">
        <v>68254.375</v>
      </c>
      <c r="K130" s="72">
        <v>74439.375</v>
      </c>
      <c r="L130" s="72">
        <v>71085</v>
      </c>
      <c r="M130" s="72">
        <v>74022.5</v>
      </c>
    </row>
    <row r="131" spans="1:13" ht="17">
      <c r="A131" s="62" t="s">
        <v>190</v>
      </c>
      <c r="B131" s="72">
        <v>136</v>
      </c>
      <c r="C131" s="72">
        <v>381</v>
      </c>
      <c r="D131" s="72">
        <v>722</v>
      </c>
      <c r="E131" s="72">
        <v>1400</v>
      </c>
      <c r="F131" s="72">
        <v>2200</v>
      </c>
      <c r="G131" s="72">
        <v>3000</v>
      </c>
      <c r="H131" s="72">
        <v>3200</v>
      </c>
      <c r="I131" s="72">
        <v>2800</v>
      </c>
      <c r="J131" s="72">
        <v>2600</v>
      </c>
      <c r="K131" s="72">
        <v>2800</v>
      </c>
      <c r="L131" s="72">
        <v>3700</v>
      </c>
      <c r="M131" s="72" t="s">
        <v>180</v>
      </c>
    </row>
    <row r="132" spans="1:13">
      <c r="A132" s="62" t="s">
        <v>191</v>
      </c>
      <c r="B132" s="82">
        <v>42305</v>
      </c>
      <c r="C132" s="82">
        <v>42669</v>
      </c>
      <c r="D132" s="82">
        <v>43042</v>
      </c>
      <c r="E132" s="82">
        <v>43409</v>
      </c>
      <c r="F132" s="82">
        <v>43769</v>
      </c>
      <c r="G132" s="82">
        <v>44134</v>
      </c>
      <c r="H132" s="82">
        <v>44498</v>
      </c>
      <c r="I132" s="82">
        <v>44862</v>
      </c>
      <c r="J132" s="82">
        <v>45233</v>
      </c>
      <c r="K132" s="82">
        <v>45233</v>
      </c>
      <c r="L132" s="82">
        <v>45233</v>
      </c>
      <c r="M132" s="82">
        <v>45324</v>
      </c>
    </row>
    <row r="133" spans="1:13" ht="17">
      <c r="A133" s="62" t="s">
        <v>192</v>
      </c>
      <c r="B133" s="83" t="s">
        <v>193</v>
      </c>
      <c r="C133" s="83" t="s">
        <v>193</v>
      </c>
      <c r="D133" s="83" t="s">
        <v>193</v>
      </c>
      <c r="E133" s="83" t="s">
        <v>193</v>
      </c>
      <c r="F133" s="83" t="s">
        <v>193</v>
      </c>
      <c r="G133" s="83" t="s">
        <v>193</v>
      </c>
      <c r="H133" s="83" t="s">
        <v>193</v>
      </c>
      <c r="I133" s="83" t="s">
        <v>193</v>
      </c>
      <c r="J133" s="83" t="s">
        <v>193</v>
      </c>
      <c r="K133" s="83" t="s">
        <v>193</v>
      </c>
      <c r="L133" s="83" t="s">
        <v>194</v>
      </c>
      <c r="M133" s="83" t="s">
        <v>194</v>
      </c>
    </row>
    <row r="134" spans="1:13" ht="17">
      <c r="A134" s="62" t="s">
        <v>195</v>
      </c>
      <c r="B134" s="83" t="s">
        <v>196</v>
      </c>
      <c r="C134" s="83" t="s">
        <v>196</v>
      </c>
      <c r="D134" s="83" t="s">
        <v>196</v>
      </c>
      <c r="E134" s="83" t="s">
        <v>196</v>
      </c>
      <c r="F134" s="83" t="s">
        <v>196</v>
      </c>
      <c r="G134" s="83" t="s">
        <v>196</v>
      </c>
      <c r="H134" s="83" t="s">
        <v>196</v>
      </c>
      <c r="I134" s="83" t="s">
        <v>196</v>
      </c>
      <c r="J134" s="83" t="s">
        <v>196</v>
      </c>
      <c r="K134" s="83" t="s">
        <v>196</v>
      </c>
      <c r="L134" s="83" t="s">
        <v>196</v>
      </c>
      <c r="M134" s="83" t="s">
        <v>197</v>
      </c>
    </row>
    <row r="135" spans="1:13">
      <c r="A135" s="62"/>
      <c r="B135" s="62"/>
      <c r="C135" s="62"/>
      <c r="D135" s="62"/>
      <c r="E135" s="62"/>
      <c r="F135" s="62"/>
      <c r="G135" s="62"/>
      <c r="H135" s="62"/>
      <c r="I135" s="62"/>
      <c r="J135" s="62"/>
      <c r="K135" s="62"/>
      <c r="L135" s="62"/>
      <c r="M135" s="62"/>
    </row>
    <row r="136" spans="1:13">
      <c r="A136" s="71" t="s">
        <v>198</v>
      </c>
      <c r="B136" s="62"/>
      <c r="C136" s="62"/>
      <c r="D136" s="62"/>
      <c r="E136" s="62"/>
      <c r="F136" s="62"/>
      <c r="G136" s="62"/>
      <c r="H136" s="62"/>
      <c r="I136" s="62"/>
      <c r="J136" s="62"/>
      <c r="K136" s="62"/>
      <c r="L136" s="62"/>
      <c r="M136" s="62"/>
    </row>
    <row r="137" spans="1:13" ht="17">
      <c r="A137" s="62" t="s">
        <v>199</v>
      </c>
      <c r="B137" s="72">
        <v>1100</v>
      </c>
      <c r="C137" s="72" t="s">
        <v>180</v>
      </c>
      <c r="D137" s="72" t="s">
        <v>180</v>
      </c>
      <c r="E137" s="72" t="s">
        <v>180</v>
      </c>
      <c r="F137" s="72" t="s">
        <v>180</v>
      </c>
      <c r="G137" s="72" t="s">
        <v>180</v>
      </c>
      <c r="H137" s="72" t="s">
        <v>180</v>
      </c>
      <c r="I137" s="72" t="s">
        <v>180</v>
      </c>
      <c r="J137" s="72" t="s">
        <v>180</v>
      </c>
      <c r="K137" s="72" t="s">
        <v>180</v>
      </c>
      <c r="L137" s="72" t="s">
        <v>180</v>
      </c>
      <c r="M137" s="72" t="s">
        <v>180</v>
      </c>
    </row>
    <row r="138" spans="1:13" ht="17">
      <c r="A138" s="62" t="s">
        <v>200</v>
      </c>
      <c r="B138" s="72">
        <v>1100</v>
      </c>
      <c r="C138" s="72" t="s">
        <v>180</v>
      </c>
      <c r="D138" s="72" t="s">
        <v>180</v>
      </c>
      <c r="E138" s="72" t="s">
        <v>180</v>
      </c>
      <c r="F138" s="72" t="s">
        <v>180</v>
      </c>
      <c r="G138" s="72" t="s">
        <v>180</v>
      </c>
      <c r="H138" s="72" t="s">
        <v>180</v>
      </c>
      <c r="I138" s="72" t="s">
        <v>180</v>
      </c>
      <c r="J138" s="72" t="s">
        <v>180</v>
      </c>
      <c r="K138" s="72" t="s">
        <v>180</v>
      </c>
      <c r="L138" s="72" t="s">
        <v>180</v>
      </c>
      <c r="M138" s="72" t="s">
        <v>180</v>
      </c>
    </row>
    <row r="139" spans="1:13">
      <c r="A139" s="62" t="s">
        <v>201</v>
      </c>
      <c r="B139" s="72">
        <v>4475</v>
      </c>
      <c r="C139" s="72">
        <v>6041</v>
      </c>
      <c r="D139" s="72">
        <v>8067</v>
      </c>
      <c r="E139" s="72">
        <v>10045</v>
      </c>
      <c r="F139" s="72">
        <v>11581</v>
      </c>
      <c r="G139" s="72">
        <v>14236</v>
      </c>
      <c r="H139" s="72">
        <v>16217</v>
      </c>
      <c r="I139" s="72">
        <v>18752</v>
      </c>
      <c r="J139" s="72">
        <v>21914</v>
      </c>
      <c r="K139" s="72">
        <v>26251</v>
      </c>
      <c r="L139" s="72">
        <v>29915</v>
      </c>
      <c r="M139" s="72">
        <v>29902</v>
      </c>
    </row>
    <row r="140" spans="1:13" ht="17">
      <c r="A140" s="62" t="s">
        <v>202</v>
      </c>
      <c r="B140" s="72">
        <v>645</v>
      </c>
      <c r="C140" s="72">
        <v>717</v>
      </c>
      <c r="D140" s="72">
        <v>794</v>
      </c>
      <c r="E140" s="72">
        <v>939</v>
      </c>
      <c r="F140" s="72">
        <v>1100</v>
      </c>
      <c r="G140" s="72">
        <v>1200</v>
      </c>
      <c r="H140" s="72">
        <v>1300</v>
      </c>
      <c r="I140" s="72">
        <v>10800</v>
      </c>
      <c r="J140" s="72">
        <v>14600</v>
      </c>
      <c r="K140" s="72">
        <v>16800</v>
      </c>
      <c r="L140" s="72">
        <v>15900</v>
      </c>
      <c r="M140" s="72" t="s">
        <v>180</v>
      </c>
    </row>
    <row r="141" spans="1:13" ht="17">
      <c r="A141" s="62" t="s">
        <v>203</v>
      </c>
      <c r="B141" s="72" t="s">
        <v>35</v>
      </c>
      <c r="C141" s="72">
        <v>84.301991999999998</v>
      </c>
      <c r="D141" s="72">
        <v>93.456975999999997</v>
      </c>
      <c r="E141" s="72">
        <v>144.50834399999999</v>
      </c>
      <c r="F141" s="72">
        <v>201.68719999999999</v>
      </c>
      <c r="G141" s="72">
        <v>270.2688</v>
      </c>
      <c r="H141" s="72">
        <v>334.24560000000002</v>
      </c>
      <c r="I141" s="72">
        <v>2155.4207999999999</v>
      </c>
      <c r="J141" s="72">
        <v>2387.3919999999998</v>
      </c>
      <c r="K141" s="72">
        <v>2928.7103999999999</v>
      </c>
      <c r="L141" s="72">
        <v>3902.1143999999999</v>
      </c>
      <c r="M141" s="72" t="s">
        <v>35</v>
      </c>
    </row>
    <row r="142" spans="1:13" ht="17">
      <c r="A142" s="62" t="s">
        <v>204</v>
      </c>
      <c r="B142" s="72" t="s">
        <v>35</v>
      </c>
      <c r="C142" s="72">
        <v>632.69800799999996</v>
      </c>
      <c r="D142" s="72">
        <v>700.54302399999995</v>
      </c>
      <c r="E142" s="72">
        <v>794.49165600000003</v>
      </c>
      <c r="F142" s="72">
        <v>898.31280000000004</v>
      </c>
      <c r="G142" s="72">
        <v>929.73119999999994</v>
      </c>
      <c r="H142" s="72">
        <v>965.75440000000003</v>
      </c>
      <c r="I142" s="72">
        <v>8644.5792000000001</v>
      </c>
      <c r="J142" s="72">
        <v>12212.608</v>
      </c>
      <c r="K142" s="72">
        <v>13871.2896</v>
      </c>
      <c r="L142" s="72">
        <v>11997.8856</v>
      </c>
      <c r="M142" s="72" t="s">
        <v>35</v>
      </c>
    </row>
    <row r="143" spans="1:13">
      <c r="A143" s="62"/>
      <c r="B143" s="62"/>
      <c r="C143" s="62"/>
      <c r="D143" s="62"/>
      <c r="E143" s="62"/>
      <c r="F143" s="62"/>
      <c r="G143" s="62"/>
      <c r="H143" s="62"/>
      <c r="I143" s="62"/>
      <c r="J143" s="62"/>
      <c r="K143" s="62"/>
      <c r="L143" s="62"/>
      <c r="M143" s="62"/>
    </row>
    <row r="144" spans="1:13" ht="17">
      <c r="A144" s="62" t="s">
        <v>205</v>
      </c>
      <c r="B144" s="72">
        <v>350</v>
      </c>
      <c r="C144" s="72">
        <v>450</v>
      </c>
      <c r="D144" s="72">
        <v>575</v>
      </c>
      <c r="E144" s="72">
        <v>769</v>
      </c>
      <c r="F144" s="72" t="s">
        <v>35</v>
      </c>
      <c r="G144" s="72" t="s">
        <v>35</v>
      </c>
      <c r="H144" s="72" t="s">
        <v>35</v>
      </c>
      <c r="I144" s="72" t="s">
        <v>35</v>
      </c>
      <c r="J144" s="72" t="s">
        <v>35</v>
      </c>
      <c r="K144" s="72" t="s">
        <v>35</v>
      </c>
      <c r="L144" s="72" t="s">
        <v>35</v>
      </c>
      <c r="M144" s="72" t="s">
        <v>35</v>
      </c>
    </row>
    <row r="145" spans="1:13" ht="17">
      <c r="A145" s="62" t="s">
        <v>206</v>
      </c>
      <c r="B145" s="72">
        <v>917</v>
      </c>
      <c r="C145" s="72">
        <v>1216</v>
      </c>
      <c r="D145" s="72">
        <v>1536</v>
      </c>
      <c r="E145" s="72">
        <v>1889</v>
      </c>
      <c r="F145" s="72" t="s">
        <v>35</v>
      </c>
      <c r="G145" s="72" t="s">
        <v>35</v>
      </c>
      <c r="H145" s="72" t="s">
        <v>35</v>
      </c>
      <c r="I145" s="72" t="s">
        <v>35</v>
      </c>
      <c r="J145" s="72" t="s">
        <v>35</v>
      </c>
      <c r="K145" s="72" t="s">
        <v>35</v>
      </c>
      <c r="L145" s="72" t="s">
        <v>35</v>
      </c>
      <c r="M145" s="72" t="s">
        <v>35</v>
      </c>
    </row>
    <row r="146" spans="1:13" ht="17">
      <c r="A146" s="62" t="s">
        <v>207</v>
      </c>
      <c r="B146" s="72">
        <v>986</v>
      </c>
      <c r="C146" s="72">
        <v>1197</v>
      </c>
      <c r="D146" s="72">
        <v>1475</v>
      </c>
      <c r="E146" s="72">
        <v>1552</v>
      </c>
      <c r="F146" s="72" t="s">
        <v>35</v>
      </c>
      <c r="G146" s="72" t="s">
        <v>35</v>
      </c>
      <c r="H146" s="72" t="s">
        <v>35</v>
      </c>
      <c r="I146" s="72" t="s">
        <v>35</v>
      </c>
      <c r="J146" s="72" t="s">
        <v>35</v>
      </c>
      <c r="K146" s="72" t="s">
        <v>35</v>
      </c>
      <c r="L146" s="72" t="s">
        <v>35</v>
      </c>
      <c r="M146" s="72" t="s">
        <v>35</v>
      </c>
    </row>
    <row r="147" spans="1:13" ht="17">
      <c r="A147" s="62" t="s">
        <v>208</v>
      </c>
      <c r="B147" s="72" t="s">
        <v>35</v>
      </c>
      <c r="C147" s="72" t="s">
        <v>35</v>
      </c>
      <c r="D147" s="72" t="s">
        <v>35</v>
      </c>
      <c r="E147" s="72" t="s">
        <v>35</v>
      </c>
      <c r="F147" s="72">
        <v>4840</v>
      </c>
      <c r="G147" s="72">
        <v>5340</v>
      </c>
      <c r="H147" s="72">
        <v>6068</v>
      </c>
      <c r="I147" s="72">
        <v>6829</v>
      </c>
      <c r="J147" s="72">
        <v>7906</v>
      </c>
      <c r="K147" s="72">
        <v>9038</v>
      </c>
      <c r="L147" s="72">
        <v>10833</v>
      </c>
      <c r="M147" s="72">
        <v>10925</v>
      </c>
    </row>
    <row r="148" spans="1:13">
      <c r="A148" s="71" t="s">
        <v>209</v>
      </c>
      <c r="B148" s="76">
        <v>2253</v>
      </c>
      <c r="C148" s="76">
        <v>2863</v>
      </c>
      <c r="D148" s="76">
        <v>3586</v>
      </c>
      <c r="E148" s="76">
        <v>4210</v>
      </c>
      <c r="F148" s="76">
        <v>4840</v>
      </c>
      <c r="G148" s="76">
        <v>5340</v>
      </c>
      <c r="H148" s="76">
        <v>6068</v>
      </c>
      <c r="I148" s="76">
        <v>6829</v>
      </c>
      <c r="J148" s="76">
        <v>7906</v>
      </c>
      <c r="K148" s="76">
        <v>9038</v>
      </c>
      <c r="L148" s="76">
        <v>10833</v>
      </c>
      <c r="M148" s="76">
        <v>10925</v>
      </c>
    </row>
    <row r="149" spans="1:13">
      <c r="A149" s="62"/>
      <c r="B149" s="62"/>
      <c r="C149" s="62"/>
      <c r="D149" s="62"/>
      <c r="E149" s="62"/>
      <c r="F149" s="62"/>
      <c r="G149" s="62"/>
      <c r="H149" s="62"/>
      <c r="I149" s="62"/>
      <c r="J149" s="62"/>
      <c r="K149" s="62"/>
      <c r="L149" s="62"/>
      <c r="M149" s="62"/>
    </row>
    <row r="150" spans="1:13">
      <c r="A150" s="84" t="s">
        <v>210</v>
      </c>
      <c r="B150" s="85"/>
      <c r="C150" s="85"/>
      <c r="D150" s="85"/>
      <c r="E150" s="85"/>
      <c r="F150" s="85"/>
      <c r="G150" s="85"/>
      <c r="H150" s="85"/>
      <c r="I150" s="85"/>
      <c r="J150" s="85"/>
      <c r="K150" s="85"/>
      <c r="L150" s="85"/>
      <c r="M150" s="85"/>
    </row>
    <row r="151" spans="1:13">
      <c r="A151" s="29" t="s">
        <v>211</v>
      </c>
    </row>
    <row r="152" spans="1:13">
      <c r="A152" s="86" t="s">
        <v>80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autoPageBreaks="0"/>
  </sheetPr>
  <dimension ref="A5:IT205"/>
  <sheetViews>
    <sheetView topLeftCell="A4" zoomScaleNormal="100" workbookViewId="0">
      <pane xSplit="1" ySplit="13" topLeftCell="I17" activePane="bottomRight" state="frozen"/>
      <selection activeCell="A4" sqref="A4"/>
      <selection pane="topRight" activeCell="B4" sqref="B4"/>
      <selection pane="bottomLeft" activeCell="A17" sqref="A17"/>
      <selection pane="bottomRight" activeCell="L15" sqref="L15"/>
    </sheetView>
  </sheetViews>
  <sheetFormatPr baseColWidth="10" defaultRowHeight="16"/>
  <cols>
    <col min="1" max="1" width="45.83203125" style="29" customWidth="1"/>
    <col min="2" max="13" width="14.83203125" style="29" customWidth="1"/>
    <col min="14" max="14" width="9.33203125" style="29" customWidth="1"/>
    <col min="15" max="15" width="19" style="29" bestFit="1" customWidth="1"/>
    <col min="16" max="16" width="22" style="29" bestFit="1" customWidth="1"/>
    <col min="17" max="17" width="12.6640625" style="29" bestFit="1" customWidth="1"/>
    <col min="18" max="256" width="8.83203125" style="29" customWidth="1"/>
    <col min="257" max="16384" width="10.83203125" style="29"/>
  </cols>
  <sheetData>
    <row r="5" spans="1:254">
      <c r="A5" s="60" t="s">
        <v>212</v>
      </c>
    </row>
    <row r="7" spans="1:254" ht="34">
      <c r="A7" s="61" t="s">
        <v>213</v>
      </c>
      <c r="B7" s="36" t="s">
        <v>214</v>
      </c>
      <c r="C7" s="29" t="s">
        <v>84</v>
      </c>
      <c r="D7" s="62" t="s">
        <v>4</v>
      </c>
      <c r="E7" s="36" t="s">
        <v>215</v>
      </c>
      <c r="F7" s="29" t="s">
        <v>86</v>
      </c>
    </row>
    <row r="8" spans="1:254">
      <c r="A8" s="62"/>
      <c r="B8" s="36" t="s">
        <v>216</v>
      </c>
      <c r="C8" s="29" t="s">
        <v>88</v>
      </c>
      <c r="D8" s="62" t="s">
        <v>4</v>
      </c>
      <c r="E8" s="36" t="s">
        <v>217</v>
      </c>
      <c r="F8" s="29" t="s">
        <v>8</v>
      </c>
    </row>
    <row r="9" spans="1:254">
      <c r="A9" s="62"/>
      <c r="B9" s="36" t="s">
        <v>218</v>
      </c>
      <c r="C9" s="29" t="s">
        <v>91</v>
      </c>
      <c r="D9" s="62" t="s">
        <v>4</v>
      </c>
      <c r="E9" s="36" t="s">
        <v>219</v>
      </c>
      <c r="F9" s="29" t="s">
        <v>6</v>
      </c>
    </row>
    <row r="10" spans="1:254">
      <c r="A10" s="62"/>
      <c r="B10" s="36" t="s">
        <v>220</v>
      </c>
      <c r="C10" s="29" t="s">
        <v>10</v>
      </c>
      <c r="D10" s="62" t="s">
        <v>4</v>
      </c>
      <c r="E10" s="36" t="s">
        <v>221</v>
      </c>
      <c r="F10" s="63" t="s">
        <v>12</v>
      </c>
    </row>
    <row r="11" spans="1:254">
      <c r="A11" s="62"/>
      <c r="B11" s="36" t="s">
        <v>222</v>
      </c>
      <c r="C11" s="29" t="s">
        <v>96</v>
      </c>
      <c r="D11" s="62" t="s">
        <v>4</v>
      </c>
      <c r="E11" s="64"/>
      <c r="F11" s="64"/>
    </row>
    <row r="14" spans="1:254">
      <c r="A14" s="65" t="s">
        <v>223</v>
      </c>
      <c r="B14" s="65"/>
      <c r="C14" s="65"/>
      <c r="D14" s="65"/>
      <c r="E14" s="65"/>
      <c r="F14" s="65"/>
      <c r="G14" s="65"/>
      <c r="H14" s="65"/>
      <c r="I14" s="65"/>
      <c r="J14" s="65"/>
      <c r="K14" s="65"/>
      <c r="L14" s="65"/>
      <c r="M14" s="65"/>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c r="DQ14" s="66"/>
      <c r="DR14" s="66"/>
      <c r="DS14" s="66"/>
      <c r="DT14" s="66"/>
      <c r="DU14" s="66"/>
      <c r="DV14" s="66"/>
      <c r="DW14" s="66"/>
      <c r="DX14" s="66"/>
      <c r="DY14" s="66"/>
      <c r="DZ14" s="66"/>
      <c r="EA14" s="66"/>
      <c r="EB14" s="66"/>
      <c r="EC14" s="66"/>
      <c r="ED14" s="66"/>
      <c r="EE14" s="66"/>
      <c r="EF14" s="66"/>
      <c r="EG14" s="66"/>
      <c r="EH14" s="66"/>
      <c r="EI14" s="66"/>
      <c r="EJ14" s="66"/>
      <c r="EK14" s="66"/>
      <c r="EL14" s="66"/>
      <c r="EM14" s="66"/>
      <c r="EN14" s="66"/>
      <c r="EO14" s="66"/>
      <c r="EP14" s="66"/>
      <c r="EQ14" s="66"/>
      <c r="ER14" s="66"/>
      <c r="ES14" s="66"/>
      <c r="ET14" s="66"/>
      <c r="EU14" s="66"/>
      <c r="EV14" s="66"/>
      <c r="EW14" s="66"/>
      <c r="EX14" s="66"/>
      <c r="EY14" s="66"/>
      <c r="EZ14" s="66"/>
      <c r="FA14" s="66"/>
      <c r="FB14" s="66"/>
      <c r="FC14" s="66"/>
      <c r="FD14" s="66"/>
      <c r="FE14" s="66"/>
      <c r="FF14" s="66"/>
      <c r="FG14" s="66"/>
      <c r="FH14" s="66"/>
      <c r="FI14" s="66"/>
      <c r="FJ14" s="66"/>
      <c r="FK14" s="66"/>
      <c r="FL14" s="66"/>
      <c r="FM14" s="66"/>
      <c r="FN14" s="66"/>
      <c r="FO14" s="66"/>
      <c r="FP14" s="66"/>
      <c r="FQ14" s="66"/>
      <c r="FR14" s="66"/>
      <c r="FS14" s="66"/>
      <c r="FT14" s="66"/>
      <c r="FU14" s="66"/>
      <c r="FV14" s="66"/>
      <c r="FW14" s="66"/>
      <c r="FX14" s="66"/>
      <c r="FY14" s="66"/>
      <c r="FZ14" s="66"/>
      <c r="GA14" s="66"/>
      <c r="GB14" s="66"/>
      <c r="GC14" s="66"/>
      <c r="GD14" s="66"/>
      <c r="GE14" s="66"/>
      <c r="GF14" s="66"/>
      <c r="GG14" s="66"/>
      <c r="GH14" s="66"/>
      <c r="GI14" s="66"/>
      <c r="GJ14" s="66"/>
      <c r="GK14" s="66"/>
      <c r="GL14" s="66"/>
      <c r="GM14" s="66"/>
      <c r="GN14" s="66"/>
      <c r="GO14" s="66"/>
      <c r="GP14" s="66"/>
      <c r="GQ14" s="66"/>
      <c r="GR14" s="66"/>
      <c r="GS14" s="66"/>
      <c r="GT14" s="66"/>
      <c r="GU14" s="66"/>
      <c r="GV14" s="66"/>
      <c r="GW14" s="66"/>
      <c r="GX14" s="66"/>
      <c r="GY14" s="66"/>
      <c r="GZ14" s="66"/>
      <c r="HA14" s="66"/>
      <c r="HB14" s="66"/>
      <c r="HC14" s="66"/>
      <c r="HD14" s="66"/>
      <c r="HE14" s="66"/>
      <c r="HF14" s="66"/>
      <c r="HG14" s="66"/>
      <c r="HH14" s="66"/>
      <c r="HI14" s="66"/>
      <c r="HJ14" s="66"/>
      <c r="HK14" s="66"/>
      <c r="HL14" s="66"/>
      <c r="HM14" s="66"/>
      <c r="HN14" s="66"/>
      <c r="HO14" s="66"/>
      <c r="HP14" s="66"/>
      <c r="HQ14" s="66"/>
      <c r="HR14" s="66"/>
      <c r="HS14" s="66"/>
      <c r="HT14" s="66"/>
      <c r="HU14" s="66"/>
      <c r="HV14" s="66"/>
      <c r="HW14" s="66"/>
      <c r="HX14" s="66"/>
      <c r="HY14" s="66"/>
      <c r="HZ14" s="66"/>
      <c r="IA14" s="66"/>
      <c r="IB14" s="66"/>
      <c r="IC14" s="66"/>
      <c r="ID14" s="66"/>
      <c r="IE14" s="66"/>
      <c r="IF14" s="66"/>
      <c r="IG14" s="66"/>
      <c r="IH14" s="66"/>
      <c r="II14" s="66"/>
      <c r="IJ14" s="66"/>
      <c r="IK14" s="66"/>
      <c r="IL14" s="66"/>
      <c r="IM14" s="66"/>
      <c r="IN14" s="66"/>
      <c r="IO14" s="66"/>
      <c r="IP14" s="66"/>
      <c r="IQ14" s="66"/>
      <c r="IR14" s="66"/>
      <c r="IS14" s="66"/>
      <c r="IT14" s="66"/>
    </row>
    <row r="15" spans="1:254" ht="34">
      <c r="A15" s="67" t="s">
        <v>224</v>
      </c>
      <c r="B15" s="87">
        <v>41545</v>
      </c>
      <c r="C15" s="87">
        <v>41909</v>
      </c>
      <c r="D15" s="68" t="s">
        <v>225</v>
      </c>
      <c r="E15" s="87">
        <v>42637</v>
      </c>
      <c r="F15" s="87">
        <v>43008</v>
      </c>
      <c r="G15" s="68" t="s">
        <v>226</v>
      </c>
      <c r="H15" s="87">
        <v>43736</v>
      </c>
      <c r="I15" s="87">
        <v>44100</v>
      </c>
      <c r="J15" s="87">
        <v>44464</v>
      </c>
      <c r="K15" s="87">
        <v>44828</v>
      </c>
      <c r="L15" s="87">
        <v>45199</v>
      </c>
      <c r="M15" s="87">
        <v>45290</v>
      </c>
    </row>
    <row r="16" spans="1:254" ht="17">
      <c r="A16" s="69" t="s">
        <v>30</v>
      </c>
      <c r="B16" s="70" t="s">
        <v>31</v>
      </c>
      <c r="C16" s="70" t="s">
        <v>31</v>
      </c>
      <c r="D16" s="70" t="s">
        <v>31</v>
      </c>
      <c r="E16" s="70" t="s">
        <v>31</v>
      </c>
      <c r="F16" s="70" t="s">
        <v>31</v>
      </c>
      <c r="G16" s="70" t="s">
        <v>31</v>
      </c>
      <c r="H16" s="70" t="s">
        <v>31</v>
      </c>
      <c r="I16" s="70" t="s">
        <v>31</v>
      </c>
      <c r="J16" s="70" t="s">
        <v>31</v>
      </c>
      <c r="K16" s="70" t="s">
        <v>31</v>
      </c>
      <c r="L16" s="70" t="s">
        <v>31</v>
      </c>
      <c r="M16" s="70" t="s">
        <v>31</v>
      </c>
    </row>
    <row r="17" spans="1:17">
      <c r="A17" s="71" t="s">
        <v>227</v>
      </c>
      <c r="B17" s="62"/>
      <c r="C17" s="62"/>
      <c r="D17" s="62"/>
      <c r="E17" s="62"/>
      <c r="F17" s="62"/>
      <c r="G17" s="62"/>
      <c r="H17" s="62"/>
      <c r="I17" s="62"/>
      <c r="J17" s="62"/>
      <c r="K17" s="62"/>
      <c r="L17" s="62"/>
      <c r="M17" s="62"/>
      <c r="P17" s="100" t="s">
        <v>588</v>
      </c>
      <c r="Q17" s="101" t="s">
        <v>665</v>
      </c>
    </row>
    <row r="18" spans="1:17">
      <c r="A18" s="62" t="s">
        <v>228</v>
      </c>
      <c r="B18" s="72">
        <v>14259</v>
      </c>
      <c r="C18" s="72">
        <v>13844</v>
      </c>
      <c r="D18" s="72">
        <v>21120</v>
      </c>
      <c r="E18" s="72">
        <v>20484</v>
      </c>
      <c r="F18" s="72">
        <v>20289</v>
      </c>
      <c r="G18" s="72">
        <v>25913</v>
      </c>
      <c r="H18" s="72">
        <v>48844</v>
      </c>
      <c r="I18" s="72">
        <v>38016</v>
      </c>
      <c r="J18" s="72">
        <v>34940</v>
      </c>
      <c r="K18" s="72">
        <v>23646</v>
      </c>
      <c r="L18" s="72">
        <v>29965</v>
      </c>
      <c r="M18" s="72">
        <v>40760</v>
      </c>
      <c r="P18" s="102" t="s">
        <v>589</v>
      </c>
      <c r="Q18" s="103">
        <f>M111+M116+M137+M141</f>
        <v>106042</v>
      </c>
    </row>
    <row r="19" spans="1:17" ht="17">
      <c r="A19" s="73" t="s">
        <v>229</v>
      </c>
      <c r="B19" s="74">
        <v>14259</v>
      </c>
      <c r="C19" s="74">
        <v>13844</v>
      </c>
      <c r="D19" s="74">
        <v>21120</v>
      </c>
      <c r="E19" s="74">
        <v>20484</v>
      </c>
      <c r="F19" s="74">
        <v>20289</v>
      </c>
      <c r="G19" s="74">
        <v>25913</v>
      </c>
      <c r="H19" s="74">
        <v>48844</v>
      </c>
      <c r="I19" s="74">
        <v>38016</v>
      </c>
      <c r="J19" s="74">
        <v>34940</v>
      </c>
      <c r="K19" s="74">
        <v>23646</v>
      </c>
      <c r="L19" s="74">
        <v>29965</v>
      </c>
      <c r="M19" s="74" t="s">
        <v>35</v>
      </c>
      <c r="P19" s="102" t="s">
        <v>590</v>
      </c>
      <c r="Q19" s="103">
        <f>M26</f>
        <v>73100</v>
      </c>
    </row>
    <row r="20" spans="1:17" ht="17">
      <c r="A20" s="73" t="s">
        <v>230</v>
      </c>
      <c r="B20" s="74" t="s">
        <v>35</v>
      </c>
      <c r="C20" s="74" t="s">
        <v>35</v>
      </c>
      <c r="D20" s="74" t="s">
        <v>35</v>
      </c>
      <c r="E20" s="74" t="s">
        <v>35</v>
      </c>
      <c r="F20" s="74" t="s">
        <v>35</v>
      </c>
      <c r="G20" s="74" t="s">
        <v>35</v>
      </c>
      <c r="H20" s="74" t="s">
        <v>35</v>
      </c>
      <c r="I20" s="74" t="s">
        <v>35</v>
      </c>
      <c r="J20" s="74" t="s">
        <v>35</v>
      </c>
      <c r="K20" s="74" t="s">
        <v>35</v>
      </c>
      <c r="L20" s="74" t="s">
        <v>35</v>
      </c>
      <c r="M20" s="74">
        <v>40760</v>
      </c>
      <c r="P20" s="104" t="s">
        <v>591</v>
      </c>
      <c r="Q20" s="128">
        <f>Q18-Q19</f>
        <v>32942</v>
      </c>
    </row>
    <row r="21" spans="1:17">
      <c r="A21" s="62" t="s">
        <v>231</v>
      </c>
      <c r="B21" s="72">
        <v>26287</v>
      </c>
      <c r="C21" s="72">
        <v>11233</v>
      </c>
      <c r="D21" s="72">
        <v>20481</v>
      </c>
      <c r="E21" s="72">
        <v>46671</v>
      </c>
      <c r="F21" s="72">
        <v>53892</v>
      </c>
      <c r="G21" s="72">
        <v>40388</v>
      </c>
      <c r="H21" s="72">
        <v>51713</v>
      </c>
      <c r="I21" s="72">
        <v>52927</v>
      </c>
      <c r="J21" s="72">
        <v>27699</v>
      </c>
      <c r="K21" s="72">
        <v>24658</v>
      </c>
      <c r="L21" s="72">
        <v>31590</v>
      </c>
      <c r="M21" s="72">
        <v>32340</v>
      </c>
    </row>
    <row r="22" spans="1:17" ht="17">
      <c r="A22" s="73" t="s">
        <v>232</v>
      </c>
      <c r="B22" s="74" t="s">
        <v>35</v>
      </c>
      <c r="C22" s="74" t="s">
        <v>35</v>
      </c>
      <c r="D22" s="74" t="s">
        <v>35</v>
      </c>
      <c r="E22" s="74" t="s">
        <v>35</v>
      </c>
      <c r="F22" s="74" t="s">
        <v>35</v>
      </c>
      <c r="G22" s="74" t="s">
        <v>35</v>
      </c>
      <c r="H22" s="74" t="s">
        <v>35</v>
      </c>
      <c r="I22" s="74" t="s">
        <v>35</v>
      </c>
      <c r="J22" s="74" t="s">
        <v>35</v>
      </c>
      <c r="K22" s="74" t="s">
        <v>35</v>
      </c>
      <c r="L22" s="74" t="s">
        <v>35</v>
      </c>
      <c r="M22" s="74">
        <v>32340</v>
      </c>
    </row>
    <row r="23" spans="1:17" ht="17">
      <c r="A23" s="73" t="s">
        <v>233</v>
      </c>
      <c r="B23" s="74">
        <v>26287</v>
      </c>
      <c r="C23" s="74">
        <v>11233</v>
      </c>
      <c r="D23" s="74">
        <v>20481</v>
      </c>
      <c r="E23" s="74">
        <v>46671</v>
      </c>
      <c r="F23" s="74">
        <v>53892</v>
      </c>
      <c r="G23" s="74">
        <v>40388</v>
      </c>
      <c r="H23" s="74">
        <v>51713</v>
      </c>
      <c r="I23" s="74">
        <v>52927</v>
      </c>
      <c r="J23" s="74">
        <v>27699</v>
      </c>
      <c r="K23" s="74">
        <v>24658</v>
      </c>
      <c r="L23" s="74">
        <v>31590</v>
      </c>
      <c r="M23" s="74" t="s">
        <v>35</v>
      </c>
    </row>
    <row r="24" spans="1:17" ht="17">
      <c r="A24" s="62" t="s">
        <v>234</v>
      </c>
      <c r="B24" s="72">
        <v>44</v>
      </c>
      <c r="C24" s="72">
        <v>81</v>
      </c>
      <c r="D24" s="72">
        <v>394</v>
      </c>
      <c r="E24" s="72" t="s">
        <v>35</v>
      </c>
      <c r="F24" s="72" t="s">
        <v>35</v>
      </c>
      <c r="G24" s="72" t="s">
        <v>35</v>
      </c>
      <c r="H24" s="72" t="s">
        <v>35</v>
      </c>
      <c r="I24" s="72" t="s">
        <v>35</v>
      </c>
      <c r="J24" s="72" t="s">
        <v>35</v>
      </c>
      <c r="K24" s="72" t="s">
        <v>35</v>
      </c>
      <c r="L24" s="72" t="s">
        <v>35</v>
      </c>
      <c r="M24" s="72" t="s">
        <v>35</v>
      </c>
    </row>
    <row r="25" spans="1:17" ht="17">
      <c r="A25" s="73" t="s">
        <v>235</v>
      </c>
      <c r="B25" s="74">
        <v>44</v>
      </c>
      <c r="C25" s="74">
        <v>81</v>
      </c>
      <c r="D25" s="74">
        <v>394</v>
      </c>
      <c r="E25" s="74" t="s">
        <v>35</v>
      </c>
      <c r="F25" s="74" t="s">
        <v>35</v>
      </c>
      <c r="G25" s="74" t="s">
        <v>35</v>
      </c>
      <c r="H25" s="74" t="s">
        <v>35</v>
      </c>
      <c r="I25" s="74" t="s">
        <v>35</v>
      </c>
      <c r="J25" s="74" t="s">
        <v>35</v>
      </c>
      <c r="K25" s="74" t="s">
        <v>35</v>
      </c>
      <c r="L25" s="74" t="s">
        <v>35</v>
      </c>
      <c r="M25" s="74" t="s">
        <v>35</v>
      </c>
    </row>
    <row r="26" spans="1:17">
      <c r="A26" s="98" t="s">
        <v>236</v>
      </c>
      <c r="B26" s="99">
        <v>40590</v>
      </c>
      <c r="C26" s="99">
        <v>25158</v>
      </c>
      <c r="D26" s="99">
        <v>41995</v>
      </c>
      <c r="E26" s="99">
        <v>67155</v>
      </c>
      <c r="F26" s="99">
        <v>74181</v>
      </c>
      <c r="G26" s="99">
        <v>66301</v>
      </c>
      <c r="H26" s="99">
        <v>100557</v>
      </c>
      <c r="I26" s="99">
        <v>90943</v>
      </c>
      <c r="J26" s="99">
        <v>62639</v>
      </c>
      <c r="K26" s="99">
        <v>48304</v>
      </c>
      <c r="L26" s="99">
        <v>61555</v>
      </c>
      <c r="M26" s="99">
        <v>73100</v>
      </c>
    </row>
    <row r="27" spans="1:17">
      <c r="A27" s="62"/>
      <c r="B27" s="62"/>
      <c r="C27" s="62"/>
      <c r="D27" s="62"/>
      <c r="E27" s="62"/>
      <c r="F27" s="62"/>
      <c r="G27" s="62"/>
      <c r="H27" s="62"/>
      <c r="I27" s="62"/>
      <c r="J27" s="62"/>
      <c r="K27" s="62"/>
      <c r="L27" s="62"/>
      <c r="M27" s="62"/>
    </row>
    <row r="28" spans="1:17">
      <c r="A28" s="62" t="s">
        <v>237</v>
      </c>
      <c r="B28" s="72">
        <v>13102</v>
      </c>
      <c r="C28" s="72">
        <v>17460</v>
      </c>
      <c r="D28" s="72">
        <v>16849</v>
      </c>
      <c r="E28" s="72">
        <v>15754</v>
      </c>
      <c r="F28" s="72">
        <v>17874</v>
      </c>
      <c r="G28" s="72">
        <v>23186</v>
      </c>
      <c r="H28" s="72">
        <v>22926</v>
      </c>
      <c r="I28" s="72">
        <v>16120</v>
      </c>
      <c r="J28" s="72">
        <v>26278</v>
      </c>
      <c r="K28" s="72">
        <v>28184</v>
      </c>
      <c r="L28" s="72">
        <v>29508</v>
      </c>
      <c r="M28" s="72">
        <v>23194</v>
      </c>
    </row>
    <row r="29" spans="1:17" ht="17">
      <c r="A29" s="73" t="s">
        <v>238</v>
      </c>
      <c r="B29" s="74" t="s">
        <v>35</v>
      </c>
      <c r="C29" s="74" t="s">
        <v>35</v>
      </c>
      <c r="D29" s="74" t="s">
        <v>35</v>
      </c>
      <c r="E29" s="74" t="s">
        <v>35</v>
      </c>
      <c r="F29" s="74">
        <v>17874</v>
      </c>
      <c r="G29" s="74">
        <v>23186</v>
      </c>
      <c r="H29" s="74">
        <v>22926</v>
      </c>
      <c r="I29" s="74">
        <v>16120</v>
      </c>
      <c r="J29" s="74">
        <v>26278</v>
      </c>
      <c r="K29" s="74">
        <v>28184</v>
      </c>
      <c r="L29" s="74">
        <v>29508</v>
      </c>
      <c r="M29" s="74" t="s">
        <v>35</v>
      </c>
    </row>
    <row r="30" spans="1:17" ht="17">
      <c r="A30" s="73" t="s">
        <v>239</v>
      </c>
      <c r="B30" s="74">
        <v>-99</v>
      </c>
      <c r="C30" s="74">
        <v>-86</v>
      </c>
      <c r="D30" s="74">
        <v>-63</v>
      </c>
      <c r="E30" s="74">
        <v>-53</v>
      </c>
      <c r="F30" s="74" t="s">
        <v>35</v>
      </c>
      <c r="G30" s="74" t="s">
        <v>35</v>
      </c>
      <c r="H30" s="74" t="s">
        <v>35</v>
      </c>
      <c r="I30" s="74" t="s">
        <v>35</v>
      </c>
      <c r="J30" s="74" t="s">
        <v>35</v>
      </c>
      <c r="K30" s="74" t="s">
        <v>35</v>
      </c>
      <c r="L30" s="74" t="s">
        <v>35</v>
      </c>
      <c r="M30" s="74" t="s">
        <v>35</v>
      </c>
    </row>
    <row r="31" spans="1:17" ht="17">
      <c r="A31" s="73" t="s">
        <v>240</v>
      </c>
      <c r="B31" s="74">
        <v>13102</v>
      </c>
      <c r="C31" s="74">
        <v>17460</v>
      </c>
      <c r="D31" s="74">
        <v>16849</v>
      </c>
      <c r="E31" s="74">
        <v>15754</v>
      </c>
      <c r="F31" s="74" t="s">
        <v>35</v>
      </c>
      <c r="G31" s="74" t="s">
        <v>35</v>
      </c>
      <c r="H31" s="74" t="s">
        <v>35</v>
      </c>
      <c r="I31" s="74" t="s">
        <v>35</v>
      </c>
      <c r="J31" s="74" t="s">
        <v>35</v>
      </c>
      <c r="K31" s="74" t="s">
        <v>35</v>
      </c>
      <c r="L31" s="74" t="s">
        <v>35</v>
      </c>
      <c r="M31" s="74">
        <v>23194</v>
      </c>
    </row>
    <row r="32" spans="1:17" ht="17">
      <c r="A32" s="73" t="s">
        <v>241</v>
      </c>
      <c r="B32" s="74">
        <v>-99</v>
      </c>
      <c r="C32" s="74">
        <v>-86</v>
      </c>
      <c r="D32" s="74">
        <v>-63</v>
      </c>
      <c r="E32" s="74">
        <v>-53</v>
      </c>
      <c r="F32" s="74" t="s">
        <v>35</v>
      </c>
      <c r="G32" s="74" t="s">
        <v>35</v>
      </c>
      <c r="H32" s="74" t="s">
        <v>35</v>
      </c>
      <c r="I32" s="74" t="s">
        <v>35</v>
      </c>
      <c r="J32" s="74" t="s">
        <v>35</v>
      </c>
      <c r="K32" s="74" t="s">
        <v>35</v>
      </c>
      <c r="L32" s="74" t="s">
        <v>35</v>
      </c>
      <c r="M32" s="74" t="s">
        <v>35</v>
      </c>
    </row>
    <row r="33" spans="1:13">
      <c r="A33" s="62" t="s">
        <v>242</v>
      </c>
      <c r="B33" s="72">
        <v>7539</v>
      </c>
      <c r="C33" s="72">
        <v>9759</v>
      </c>
      <c r="D33" s="72">
        <v>13494</v>
      </c>
      <c r="E33" s="72">
        <v>13545</v>
      </c>
      <c r="F33" s="72">
        <v>17799</v>
      </c>
      <c r="G33" s="72">
        <v>25809</v>
      </c>
      <c r="H33" s="72">
        <v>22878</v>
      </c>
      <c r="I33" s="72">
        <v>21325</v>
      </c>
      <c r="J33" s="72">
        <v>25228</v>
      </c>
      <c r="K33" s="72">
        <v>32748</v>
      </c>
      <c r="L33" s="72">
        <v>31477</v>
      </c>
      <c r="M33" s="72">
        <v>26908</v>
      </c>
    </row>
    <row r="34" spans="1:13" ht="17">
      <c r="A34" s="73" t="s">
        <v>243</v>
      </c>
      <c r="B34" s="74" t="s">
        <v>35</v>
      </c>
      <c r="C34" s="74" t="s">
        <v>35</v>
      </c>
      <c r="D34" s="74" t="s">
        <v>35</v>
      </c>
      <c r="E34" s="74" t="s">
        <v>35</v>
      </c>
      <c r="F34" s="74" t="s">
        <v>35</v>
      </c>
      <c r="G34" s="74" t="s">
        <v>35</v>
      </c>
      <c r="H34" s="74" t="s">
        <v>35</v>
      </c>
      <c r="I34" s="74" t="s">
        <v>35</v>
      </c>
      <c r="J34" s="74" t="s">
        <v>35</v>
      </c>
      <c r="K34" s="74" t="s">
        <v>35</v>
      </c>
      <c r="L34" s="74" t="s">
        <v>35</v>
      </c>
      <c r="M34" s="74">
        <v>26908</v>
      </c>
    </row>
    <row r="35" spans="1:13" ht="17">
      <c r="A35" s="73" t="s">
        <v>244</v>
      </c>
      <c r="B35" s="74">
        <v>7539</v>
      </c>
      <c r="C35" s="74">
        <v>9759</v>
      </c>
      <c r="D35" s="74">
        <v>13494</v>
      </c>
      <c r="E35" s="74">
        <v>13545</v>
      </c>
      <c r="F35" s="74">
        <v>17799</v>
      </c>
      <c r="G35" s="74">
        <v>25809</v>
      </c>
      <c r="H35" s="74">
        <v>22878</v>
      </c>
      <c r="I35" s="74">
        <v>21325</v>
      </c>
      <c r="J35" s="74">
        <v>25228</v>
      </c>
      <c r="K35" s="74">
        <v>32748</v>
      </c>
      <c r="L35" s="74">
        <v>31477</v>
      </c>
      <c r="M35" s="74" t="s">
        <v>35</v>
      </c>
    </row>
    <row r="36" spans="1:13">
      <c r="A36" s="71" t="s">
        <v>245</v>
      </c>
      <c r="B36" s="75">
        <v>20641</v>
      </c>
      <c r="C36" s="75">
        <v>27219</v>
      </c>
      <c r="D36" s="75">
        <v>30343</v>
      </c>
      <c r="E36" s="75">
        <v>29299</v>
      </c>
      <c r="F36" s="75">
        <v>35673</v>
      </c>
      <c r="G36" s="75">
        <v>48995</v>
      </c>
      <c r="H36" s="75">
        <v>45804</v>
      </c>
      <c r="I36" s="75">
        <v>37445</v>
      </c>
      <c r="J36" s="75">
        <v>51506</v>
      </c>
      <c r="K36" s="75">
        <v>60932</v>
      </c>
      <c r="L36" s="75">
        <v>60985</v>
      </c>
      <c r="M36" s="75">
        <v>50102</v>
      </c>
    </row>
    <row r="37" spans="1:13">
      <c r="A37" s="62"/>
      <c r="B37" s="62"/>
      <c r="C37" s="62"/>
      <c r="D37" s="62"/>
      <c r="E37" s="62"/>
      <c r="F37" s="62"/>
      <c r="G37" s="62"/>
      <c r="H37" s="62"/>
      <c r="I37" s="62"/>
      <c r="J37" s="62"/>
      <c r="K37" s="62"/>
      <c r="L37" s="62"/>
      <c r="M37" s="62"/>
    </row>
    <row r="38" spans="1:13">
      <c r="A38" s="62" t="s">
        <v>246</v>
      </c>
      <c r="B38" s="72">
        <v>1764</v>
      </c>
      <c r="C38" s="72">
        <v>2111</v>
      </c>
      <c r="D38" s="72">
        <v>2349</v>
      </c>
      <c r="E38" s="72">
        <v>2132</v>
      </c>
      <c r="F38" s="72">
        <v>4855</v>
      </c>
      <c r="G38" s="72">
        <v>3956</v>
      </c>
      <c r="H38" s="72">
        <v>4106</v>
      </c>
      <c r="I38" s="72">
        <v>4061</v>
      </c>
      <c r="J38" s="72">
        <v>6580</v>
      </c>
      <c r="K38" s="72">
        <v>4946</v>
      </c>
      <c r="L38" s="72">
        <v>6331</v>
      </c>
      <c r="M38" s="72">
        <v>6511</v>
      </c>
    </row>
    <row r="39" spans="1:13" ht="17">
      <c r="A39" s="73" t="s">
        <v>247</v>
      </c>
      <c r="B39" s="74" t="s">
        <v>35</v>
      </c>
      <c r="C39" s="74">
        <v>2111</v>
      </c>
      <c r="D39" s="74">
        <v>2349</v>
      </c>
      <c r="E39" s="74">
        <v>2132</v>
      </c>
      <c r="F39" s="74">
        <v>4855</v>
      </c>
      <c r="G39" s="74">
        <v>3956</v>
      </c>
      <c r="H39" s="74">
        <v>4106</v>
      </c>
      <c r="I39" s="74">
        <v>4061</v>
      </c>
      <c r="J39" s="74">
        <v>6580</v>
      </c>
      <c r="K39" s="74">
        <v>4946</v>
      </c>
      <c r="L39" s="74">
        <v>6331</v>
      </c>
      <c r="M39" s="74" t="s">
        <v>35</v>
      </c>
    </row>
    <row r="40" spans="1:13" ht="17">
      <c r="A40" s="73" t="s">
        <v>248</v>
      </c>
      <c r="B40" s="74" t="s">
        <v>35</v>
      </c>
      <c r="C40" s="74" t="s">
        <v>35</v>
      </c>
      <c r="D40" s="74" t="s">
        <v>35</v>
      </c>
      <c r="E40" s="74" t="s">
        <v>35</v>
      </c>
      <c r="F40" s="74" t="s">
        <v>35</v>
      </c>
      <c r="G40" s="74" t="s">
        <v>35</v>
      </c>
      <c r="H40" s="74" t="s">
        <v>35</v>
      </c>
      <c r="I40" s="74" t="s">
        <v>35</v>
      </c>
      <c r="J40" s="74" t="s">
        <v>35</v>
      </c>
      <c r="K40" s="74" t="s">
        <v>35</v>
      </c>
      <c r="L40" s="74" t="s">
        <v>35</v>
      </c>
      <c r="M40" s="74">
        <v>6511</v>
      </c>
    </row>
    <row r="41" spans="1:13" ht="17">
      <c r="A41" s="73" t="s">
        <v>249</v>
      </c>
      <c r="B41" s="74">
        <v>683</v>
      </c>
      <c r="C41" s="74" t="s">
        <v>35</v>
      </c>
      <c r="D41" s="74" t="s">
        <v>35</v>
      </c>
      <c r="E41" s="74" t="s">
        <v>35</v>
      </c>
      <c r="F41" s="74" t="s">
        <v>35</v>
      </c>
      <c r="G41" s="74" t="s">
        <v>35</v>
      </c>
      <c r="H41" s="74" t="s">
        <v>35</v>
      </c>
      <c r="I41" s="74" t="s">
        <v>35</v>
      </c>
      <c r="J41" s="74" t="s">
        <v>35</v>
      </c>
      <c r="K41" s="74" t="s">
        <v>35</v>
      </c>
      <c r="L41" s="74" t="s">
        <v>35</v>
      </c>
      <c r="M41" s="74" t="s">
        <v>35</v>
      </c>
    </row>
    <row r="42" spans="1:13" ht="17">
      <c r="A42" s="73" t="s">
        <v>250</v>
      </c>
      <c r="B42" s="74">
        <v>1081</v>
      </c>
      <c r="C42" s="74" t="s">
        <v>35</v>
      </c>
      <c r="D42" s="74" t="s">
        <v>35</v>
      </c>
      <c r="E42" s="74" t="s">
        <v>35</v>
      </c>
      <c r="F42" s="74" t="s">
        <v>35</v>
      </c>
      <c r="G42" s="74" t="s">
        <v>35</v>
      </c>
      <c r="H42" s="74" t="s">
        <v>35</v>
      </c>
      <c r="I42" s="74" t="s">
        <v>35</v>
      </c>
      <c r="J42" s="74" t="s">
        <v>35</v>
      </c>
      <c r="K42" s="74" t="s">
        <v>35</v>
      </c>
      <c r="L42" s="74" t="s">
        <v>35</v>
      </c>
      <c r="M42" s="74" t="s">
        <v>35</v>
      </c>
    </row>
    <row r="43" spans="1:13" ht="17">
      <c r="A43" s="62" t="s">
        <v>251</v>
      </c>
      <c r="B43" s="72">
        <v>3453</v>
      </c>
      <c r="C43" s="72">
        <v>4318</v>
      </c>
      <c r="D43" s="72" t="s">
        <v>35</v>
      </c>
      <c r="E43" s="72" t="s">
        <v>35</v>
      </c>
      <c r="F43" s="72" t="s">
        <v>35</v>
      </c>
      <c r="G43" s="72" t="s">
        <v>35</v>
      </c>
      <c r="H43" s="72" t="s">
        <v>35</v>
      </c>
      <c r="I43" s="72" t="s">
        <v>35</v>
      </c>
      <c r="J43" s="72" t="s">
        <v>35</v>
      </c>
      <c r="K43" s="72" t="s">
        <v>35</v>
      </c>
      <c r="L43" s="72" t="s">
        <v>35</v>
      </c>
      <c r="M43" s="72" t="s">
        <v>35</v>
      </c>
    </row>
    <row r="44" spans="1:13" ht="17">
      <c r="A44" s="73" t="s">
        <v>252</v>
      </c>
      <c r="B44" s="74">
        <v>3453</v>
      </c>
      <c r="C44" s="74">
        <v>4318</v>
      </c>
      <c r="D44" s="74" t="s">
        <v>35</v>
      </c>
      <c r="E44" s="74" t="s">
        <v>35</v>
      </c>
      <c r="F44" s="74" t="s">
        <v>35</v>
      </c>
      <c r="G44" s="74" t="s">
        <v>35</v>
      </c>
      <c r="H44" s="74" t="s">
        <v>35</v>
      </c>
      <c r="I44" s="74" t="s">
        <v>35</v>
      </c>
      <c r="J44" s="74" t="s">
        <v>35</v>
      </c>
      <c r="K44" s="74" t="s">
        <v>35</v>
      </c>
      <c r="L44" s="74" t="s">
        <v>35</v>
      </c>
      <c r="M44" s="74" t="s">
        <v>35</v>
      </c>
    </row>
    <row r="45" spans="1:13" ht="17">
      <c r="A45" s="62" t="s">
        <v>253</v>
      </c>
      <c r="B45" s="72" t="s">
        <v>35</v>
      </c>
      <c r="C45" s="72" t="s">
        <v>35</v>
      </c>
      <c r="D45" s="72" t="s">
        <v>35</v>
      </c>
      <c r="E45" s="72" t="s">
        <v>35</v>
      </c>
      <c r="F45" s="72" t="s">
        <v>35</v>
      </c>
      <c r="G45" s="72" t="s">
        <v>35</v>
      </c>
      <c r="H45" s="72">
        <v>23</v>
      </c>
      <c r="I45" s="72" t="s">
        <v>35</v>
      </c>
      <c r="J45" s="72" t="s">
        <v>35</v>
      </c>
      <c r="K45" s="72" t="s">
        <v>35</v>
      </c>
      <c r="L45" s="72" t="s">
        <v>35</v>
      </c>
      <c r="M45" s="72" t="s">
        <v>35</v>
      </c>
    </row>
    <row r="46" spans="1:13" ht="17">
      <c r="A46" s="73" t="s">
        <v>254</v>
      </c>
      <c r="B46" s="74" t="s">
        <v>35</v>
      </c>
      <c r="C46" s="74" t="s">
        <v>35</v>
      </c>
      <c r="D46" s="74" t="s">
        <v>35</v>
      </c>
      <c r="E46" s="74" t="s">
        <v>35</v>
      </c>
      <c r="F46" s="74" t="s">
        <v>35</v>
      </c>
      <c r="G46" s="74" t="s">
        <v>35</v>
      </c>
      <c r="H46" s="74">
        <v>23</v>
      </c>
      <c r="I46" s="74" t="s">
        <v>35</v>
      </c>
      <c r="J46" s="74" t="s">
        <v>35</v>
      </c>
      <c r="K46" s="74" t="s">
        <v>35</v>
      </c>
      <c r="L46" s="74" t="s">
        <v>35</v>
      </c>
      <c r="M46" s="74" t="s">
        <v>35</v>
      </c>
    </row>
    <row r="47" spans="1:13">
      <c r="A47" s="62" t="s">
        <v>255</v>
      </c>
      <c r="B47" s="72">
        <v>6838</v>
      </c>
      <c r="C47" s="72">
        <v>9725</v>
      </c>
      <c r="D47" s="72">
        <v>14691</v>
      </c>
      <c r="E47" s="72">
        <v>8283</v>
      </c>
      <c r="F47" s="72">
        <v>13936</v>
      </c>
      <c r="G47" s="72">
        <v>12087</v>
      </c>
      <c r="H47" s="72">
        <v>12329</v>
      </c>
      <c r="I47" s="72">
        <v>11264</v>
      </c>
      <c r="J47" s="72">
        <v>14111</v>
      </c>
      <c r="K47" s="72">
        <v>21223</v>
      </c>
      <c r="L47" s="72">
        <v>14695</v>
      </c>
      <c r="M47" s="72">
        <v>13979</v>
      </c>
    </row>
    <row r="48" spans="1:13" ht="17">
      <c r="A48" s="73" t="s">
        <v>256</v>
      </c>
      <c r="B48" s="74" t="s">
        <v>35</v>
      </c>
      <c r="C48" s="74" t="s">
        <v>35</v>
      </c>
      <c r="D48" s="74" t="s">
        <v>35</v>
      </c>
      <c r="E48" s="74">
        <v>8283</v>
      </c>
      <c r="F48" s="74">
        <v>13936</v>
      </c>
      <c r="G48" s="74">
        <v>12087</v>
      </c>
      <c r="H48" s="74" t="s">
        <v>35</v>
      </c>
      <c r="I48" s="74">
        <v>11264</v>
      </c>
      <c r="J48" s="74">
        <v>14111</v>
      </c>
      <c r="K48" s="74">
        <v>21223</v>
      </c>
      <c r="L48" s="74">
        <v>14695</v>
      </c>
      <c r="M48" s="74" t="s">
        <v>35</v>
      </c>
    </row>
    <row r="49" spans="1:13" ht="17">
      <c r="A49" s="73" t="s">
        <v>257</v>
      </c>
      <c r="B49" s="74">
        <v>6882</v>
      </c>
      <c r="C49" s="74">
        <v>9806</v>
      </c>
      <c r="D49" s="74">
        <v>15085</v>
      </c>
      <c r="E49" s="74" t="s">
        <v>35</v>
      </c>
      <c r="F49" s="74" t="s">
        <v>35</v>
      </c>
      <c r="G49" s="74" t="s">
        <v>35</v>
      </c>
      <c r="H49" s="74">
        <v>12352</v>
      </c>
      <c r="I49" s="74" t="s">
        <v>35</v>
      </c>
      <c r="J49" s="74" t="s">
        <v>35</v>
      </c>
      <c r="K49" s="74" t="s">
        <v>35</v>
      </c>
      <c r="L49" s="74" t="s">
        <v>35</v>
      </c>
      <c r="M49" s="74">
        <v>13979</v>
      </c>
    </row>
    <row r="50" spans="1:13" ht="17">
      <c r="A50" s="73" t="s">
        <v>258</v>
      </c>
      <c r="B50" s="74">
        <v>170</v>
      </c>
      <c r="C50" s="74">
        <v>1554</v>
      </c>
      <c r="D50" s="74">
        <v>1551</v>
      </c>
      <c r="E50" s="74" t="s">
        <v>35</v>
      </c>
      <c r="F50" s="74" t="s">
        <v>35</v>
      </c>
      <c r="G50" s="74" t="s">
        <v>35</v>
      </c>
      <c r="H50" s="74">
        <v>23</v>
      </c>
      <c r="I50" s="74" t="s">
        <v>35</v>
      </c>
      <c r="J50" s="74" t="s">
        <v>35</v>
      </c>
      <c r="K50" s="74" t="s">
        <v>35</v>
      </c>
      <c r="L50" s="74" t="s">
        <v>35</v>
      </c>
      <c r="M50" s="74" t="s">
        <v>35</v>
      </c>
    </row>
    <row r="51" spans="1:13" ht="17">
      <c r="A51" s="73" t="s">
        <v>259</v>
      </c>
      <c r="B51" s="74">
        <v>44</v>
      </c>
      <c r="C51" s="74">
        <v>81</v>
      </c>
      <c r="D51" s="74">
        <v>394</v>
      </c>
      <c r="E51" s="74" t="s">
        <v>35</v>
      </c>
      <c r="F51" s="74" t="s">
        <v>35</v>
      </c>
      <c r="G51" s="74" t="s">
        <v>35</v>
      </c>
      <c r="H51" s="74" t="s">
        <v>35</v>
      </c>
      <c r="I51" s="74" t="s">
        <v>35</v>
      </c>
      <c r="J51" s="74" t="s">
        <v>35</v>
      </c>
      <c r="K51" s="74" t="s">
        <v>35</v>
      </c>
      <c r="L51" s="74" t="s">
        <v>35</v>
      </c>
      <c r="M51" s="74" t="s">
        <v>35</v>
      </c>
    </row>
    <row r="52" spans="1:13" ht="17">
      <c r="A52" s="73" t="s">
        <v>260</v>
      </c>
      <c r="B52" s="74">
        <v>170</v>
      </c>
      <c r="C52" s="74">
        <v>1554</v>
      </c>
      <c r="D52" s="74">
        <v>1551</v>
      </c>
      <c r="E52" s="74" t="s">
        <v>35</v>
      </c>
      <c r="F52" s="74" t="s">
        <v>35</v>
      </c>
      <c r="G52" s="74" t="s">
        <v>35</v>
      </c>
      <c r="H52" s="74" t="s">
        <v>35</v>
      </c>
      <c r="I52" s="74" t="s">
        <v>35</v>
      </c>
      <c r="J52" s="74" t="s">
        <v>35</v>
      </c>
      <c r="K52" s="74" t="s">
        <v>35</v>
      </c>
      <c r="L52" s="74" t="s">
        <v>35</v>
      </c>
      <c r="M52" s="74" t="s">
        <v>35</v>
      </c>
    </row>
    <row r="53" spans="1:13">
      <c r="A53" s="71" t="s">
        <v>261</v>
      </c>
      <c r="B53" s="75">
        <v>73286</v>
      </c>
      <c r="C53" s="75">
        <v>68531</v>
      </c>
      <c r="D53" s="75">
        <v>89378</v>
      </c>
      <c r="E53" s="75">
        <v>106869</v>
      </c>
      <c r="F53" s="75">
        <v>128645</v>
      </c>
      <c r="G53" s="75">
        <v>131339</v>
      </c>
      <c r="H53" s="75">
        <v>162819</v>
      </c>
      <c r="I53" s="75">
        <v>143713</v>
      </c>
      <c r="J53" s="75">
        <v>134836</v>
      </c>
      <c r="K53" s="75">
        <v>135405</v>
      </c>
      <c r="L53" s="75">
        <v>143566</v>
      </c>
      <c r="M53" s="75">
        <v>143692</v>
      </c>
    </row>
    <row r="54" spans="1:13">
      <c r="A54" s="62"/>
      <c r="B54" s="62"/>
      <c r="C54" s="62"/>
      <c r="D54" s="62"/>
      <c r="E54" s="62"/>
      <c r="F54" s="62"/>
      <c r="G54" s="62"/>
      <c r="H54" s="62"/>
      <c r="I54" s="62"/>
      <c r="J54" s="62"/>
      <c r="K54" s="62"/>
      <c r="L54" s="62"/>
      <c r="M54" s="62"/>
    </row>
    <row r="55" spans="1:13">
      <c r="A55" s="62" t="s">
        <v>262</v>
      </c>
      <c r="B55" s="72">
        <v>28519</v>
      </c>
      <c r="C55" s="72">
        <v>39015</v>
      </c>
      <c r="D55" s="72">
        <v>49257</v>
      </c>
      <c r="E55" s="72">
        <v>61245</v>
      </c>
      <c r="F55" s="72">
        <v>75076</v>
      </c>
      <c r="G55" s="72">
        <v>90403</v>
      </c>
      <c r="H55" s="72">
        <v>95957</v>
      </c>
      <c r="I55" s="72">
        <v>112096</v>
      </c>
      <c r="J55" s="72">
        <v>119810</v>
      </c>
      <c r="K55" s="72">
        <v>124874</v>
      </c>
      <c r="L55" s="72">
        <v>125260</v>
      </c>
      <c r="M55" s="72">
        <v>116176</v>
      </c>
    </row>
    <row r="56" spans="1:13" ht="17">
      <c r="A56" s="73" t="s">
        <v>263</v>
      </c>
      <c r="B56" s="74" t="s">
        <v>35</v>
      </c>
      <c r="C56" s="74" t="s">
        <v>35</v>
      </c>
      <c r="D56" s="74" t="s">
        <v>35</v>
      </c>
      <c r="E56" s="74" t="s">
        <v>35</v>
      </c>
      <c r="F56" s="74" t="s">
        <v>35</v>
      </c>
      <c r="G56" s="74" t="s">
        <v>35</v>
      </c>
      <c r="H56" s="74" t="s">
        <v>35</v>
      </c>
      <c r="I56" s="74">
        <v>8570</v>
      </c>
      <c r="J56" s="74">
        <v>10087</v>
      </c>
      <c r="K56" s="74">
        <v>10417</v>
      </c>
      <c r="L56" s="74">
        <v>10661</v>
      </c>
      <c r="M56" s="74" t="s">
        <v>35</v>
      </c>
    </row>
    <row r="57" spans="1:13" ht="17">
      <c r="A57" s="73" t="s">
        <v>264</v>
      </c>
      <c r="B57" s="74">
        <v>3309</v>
      </c>
      <c r="C57" s="74">
        <v>4863</v>
      </c>
      <c r="D57" s="74" t="s">
        <v>35</v>
      </c>
      <c r="E57" s="74">
        <v>10185</v>
      </c>
      <c r="F57" s="74">
        <v>13587</v>
      </c>
      <c r="G57" s="74">
        <v>16216</v>
      </c>
      <c r="H57" s="74">
        <v>17085</v>
      </c>
      <c r="I57" s="74">
        <v>17952</v>
      </c>
      <c r="J57" s="74">
        <v>20041</v>
      </c>
      <c r="K57" s="74">
        <v>22126</v>
      </c>
      <c r="L57" s="74">
        <v>23446</v>
      </c>
      <c r="M57" s="74" t="s">
        <v>35</v>
      </c>
    </row>
    <row r="58" spans="1:13" ht="17">
      <c r="A58" s="73" t="s">
        <v>264</v>
      </c>
      <c r="B58" s="74" t="s">
        <v>35</v>
      </c>
      <c r="C58" s="74" t="s">
        <v>35</v>
      </c>
      <c r="D58" s="74">
        <v>6956</v>
      </c>
      <c r="E58" s="74" t="s">
        <v>35</v>
      </c>
      <c r="F58" s="74" t="s">
        <v>35</v>
      </c>
      <c r="G58" s="74" t="s">
        <v>35</v>
      </c>
      <c r="H58" s="74" t="s">
        <v>35</v>
      </c>
      <c r="I58" s="74" t="s">
        <v>35</v>
      </c>
      <c r="J58" s="74" t="s">
        <v>35</v>
      </c>
      <c r="K58" s="74" t="s">
        <v>35</v>
      </c>
      <c r="L58" s="74" t="s">
        <v>35</v>
      </c>
      <c r="M58" s="74" t="s">
        <v>35</v>
      </c>
    </row>
    <row r="59" spans="1:13" ht="17">
      <c r="A59" s="73" t="s">
        <v>265</v>
      </c>
      <c r="B59" s="74">
        <v>3968</v>
      </c>
      <c r="C59" s="74">
        <v>4513</v>
      </c>
      <c r="D59" s="74" t="s">
        <v>35</v>
      </c>
      <c r="E59" s="74">
        <v>6517</v>
      </c>
      <c r="F59" s="74">
        <v>7279</v>
      </c>
      <c r="G59" s="74">
        <v>8205</v>
      </c>
      <c r="H59" s="74">
        <v>9075</v>
      </c>
      <c r="I59" s="74">
        <v>10283</v>
      </c>
      <c r="J59" s="74">
        <v>11023</v>
      </c>
      <c r="K59" s="74">
        <v>11271</v>
      </c>
      <c r="L59" s="74">
        <v>12839</v>
      </c>
      <c r="M59" s="74" t="s">
        <v>35</v>
      </c>
    </row>
    <row r="60" spans="1:13" ht="17">
      <c r="A60" s="73" t="s">
        <v>265</v>
      </c>
      <c r="B60" s="74" t="s">
        <v>35</v>
      </c>
      <c r="C60" s="74" t="s">
        <v>35</v>
      </c>
      <c r="D60" s="74">
        <v>5263</v>
      </c>
      <c r="E60" s="74" t="s">
        <v>35</v>
      </c>
      <c r="F60" s="74" t="s">
        <v>35</v>
      </c>
      <c r="G60" s="74" t="s">
        <v>35</v>
      </c>
      <c r="H60" s="74" t="s">
        <v>35</v>
      </c>
      <c r="I60" s="74" t="s">
        <v>35</v>
      </c>
      <c r="J60" s="74" t="s">
        <v>35</v>
      </c>
      <c r="K60" s="74" t="s">
        <v>35</v>
      </c>
      <c r="L60" s="74" t="s">
        <v>35</v>
      </c>
      <c r="M60" s="74" t="s">
        <v>35</v>
      </c>
    </row>
    <row r="61" spans="1:13" ht="17">
      <c r="A61" s="73" t="s">
        <v>266</v>
      </c>
      <c r="B61" s="74">
        <v>21242</v>
      </c>
      <c r="C61" s="74">
        <v>29639</v>
      </c>
      <c r="D61" s="74" t="s">
        <v>35</v>
      </c>
      <c r="E61" s="74">
        <v>44543</v>
      </c>
      <c r="F61" s="74">
        <v>54210</v>
      </c>
      <c r="G61" s="74">
        <v>65982</v>
      </c>
      <c r="H61" s="74">
        <v>69797</v>
      </c>
      <c r="I61" s="74">
        <v>75291</v>
      </c>
      <c r="J61" s="74">
        <v>78659</v>
      </c>
      <c r="K61" s="74">
        <v>81060</v>
      </c>
      <c r="L61" s="74">
        <v>78314</v>
      </c>
      <c r="M61" s="74" t="s">
        <v>35</v>
      </c>
    </row>
    <row r="62" spans="1:13" ht="17">
      <c r="A62" s="73" t="s">
        <v>266</v>
      </c>
      <c r="B62" s="74" t="s">
        <v>35</v>
      </c>
      <c r="C62" s="74" t="s">
        <v>35</v>
      </c>
      <c r="D62" s="74">
        <v>37038</v>
      </c>
      <c r="E62" s="74" t="s">
        <v>35</v>
      </c>
      <c r="F62" s="74" t="s">
        <v>35</v>
      </c>
      <c r="G62" s="74" t="s">
        <v>35</v>
      </c>
      <c r="H62" s="74" t="s">
        <v>35</v>
      </c>
      <c r="I62" s="74" t="s">
        <v>35</v>
      </c>
      <c r="J62" s="74" t="s">
        <v>35</v>
      </c>
      <c r="K62" s="74" t="s">
        <v>35</v>
      </c>
      <c r="L62" s="74" t="s">
        <v>35</v>
      </c>
      <c r="M62" s="74" t="s">
        <v>35</v>
      </c>
    </row>
    <row r="63" spans="1:13" ht="17">
      <c r="A63" s="73" t="s">
        <v>267</v>
      </c>
      <c r="B63" s="74" t="s">
        <v>35</v>
      </c>
      <c r="C63" s="74" t="s">
        <v>35</v>
      </c>
      <c r="D63" s="74" t="s">
        <v>35</v>
      </c>
      <c r="E63" s="74" t="s">
        <v>35</v>
      </c>
      <c r="F63" s="74" t="s">
        <v>35</v>
      </c>
      <c r="G63" s="74" t="s">
        <v>35</v>
      </c>
      <c r="H63" s="74" t="s">
        <v>35</v>
      </c>
      <c r="I63" s="74" t="s">
        <v>35</v>
      </c>
      <c r="J63" s="74" t="s">
        <v>35</v>
      </c>
      <c r="K63" s="74" t="s">
        <v>35</v>
      </c>
      <c r="L63" s="74" t="s">
        <v>35</v>
      </c>
      <c r="M63" s="74">
        <v>116176</v>
      </c>
    </row>
    <row r="64" spans="1:13">
      <c r="A64" s="62" t="s">
        <v>268</v>
      </c>
      <c r="B64" s="72">
        <v>-11922</v>
      </c>
      <c r="C64" s="72">
        <v>-18391</v>
      </c>
      <c r="D64" s="72">
        <v>-26786</v>
      </c>
      <c r="E64" s="72">
        <v>-34235</v>
      </c>
      <c r="F64" s="72">
        <v>-41293</v>
      </c>
      <c r="G64" s="72">
        <v>-49099</v>
      </c>
      <c r="H64" s="72">
        <v>-58579</v>
      </c>
      <c r="I64" s="72">
        <v>-66760</v>
      </c>
      <c r="J64" s="72">
        <v>-70283</v>
      </c>
      <c r="K64" s="72">
        <v>-72340</v>
      </c>
      <c r="L64" s="72">
        <v>-70884</v>
      </c>
      <c r="M64" s="72">
        <v>-72510</v>
      </c>
    </row>
    <row r="65" spans="1:13" ht="17">
      <c r="A65" s="73" t="s">
        <v>269</v>
      </c>
      <c r="B65" s="74" t="s">
        <v>35</v>
      </c>
      <c r="C65" s="74" t="s">
        <v>35</v>
      </c>
      <c r="D65" s="74">
        <v>-26786</v>
      </c>
      <c r="E65" s="74" t="s">
        <v>35</v>
      </c>
      <c r="F65" s="74" t="s">
        <v>35</v>
      </c>
      <c r="G65" s="74" t="s">
        <v>35</v>
      </c>
      <c r="H65" s="74" t="s">
        <v>35</v>
      </c>
      <c r="I65" s="74" t="s">
        <v>35</v>
      </c>
      <c r="J65" s="74" t="s">
        <v>35</v>
      </c>
      <c r="K65" s="74" t="s">
        <v>35</v>
      </c>
      <c r="L65" s="74" t="s">
        <v>35</v>
      </c>
      <c r="M65" s="74">
        <v>-72510</v>
      </c>
    </row>
    <row r="66" spans="1:13" ht="17">
      <c r="A66" s="73" t="s">
        <v>270</v>
      </c>
      <c r="B66" s="74">
        <v>-11922</v>
      </c>
      <c r="C66" s="74">
        <v>-18391</v>
      </c>
      <c r="D66" s="74" t="s">
        <v>35</v>
      </c>
      <c r="E66" s="74">
        <v>-34235</v>
      </c>
      <c r="F66" s="74">
        <v>-41293</v>
      </c>
      <c r="G66" s="74">
        <v>-49099</v>
      </c>
      <c r="H66" s="74">
        <v>-58579</v>
      </c>
      <c r="I66" s="74">
        <v>-66760</v>
      </c>
      <c r="J66" s="74">
        <v>-70283</v>
      </c>
      <c r="K66" s="74">
        <v>-72340</v>
      </c>
      <c r="L66" s="74">
        <v>-70884</v>
      </c>
      <c r="M66" s="74" t="s">
        <v>35</v>
      </c>
    </row>
    <row r="67" spans="1:13">
      <c r="A67" s="71" t="s">
        <v>271</v>
      </c>
      <c r="B67" s="75">
        <v>16597</v>
      </c>
      <c r="C67" s="75">
        <v>20624</v>
      </c>
      <c r="D67" s="75">
        <v>22471</v>
      </c>
      <c r="E67" s="75">
        <v>27010</v>
      </c>
      <c r="F67" s="75">
        <v>33783</v>
      </c>
      <c r="G67" s="75">
        <v>41304</v>
      </c>
      <c r="H67" s="75">
        <v>37378</v>
      </c>
      <c r="I67" s="75">
        <v>45336</v>
      </c>
      <c r="J67" s="75">
        <v>49527</v>
      </c>
      <c r="K67" s="75">
        <v>52534</v>
      </c>
      <c r="L67" s="75">
        <v>54376</v>
      </c>
      <c r="M67" s="75">
        <v>43666</v>
      </c>
    </row>
    <row r="68" spans="1:13">
      <c r="A68" s="62"/>
      <c r="B68" s="62"/>
      <c r="C68" s="62"/>
      <c r="D68" s="62"/>
      <c r="E68" s="62"/>
      <c r="F68" s="62"/>
      <c r="G68" s="62"/>
      <c r="H68" s="62"/>
      <c r="I68" s="62"/>
      <c r="J68" s="62"/>
      <c r="K68" s="62"/>
      <c r="L68" s="62"/>
      <c r="M68" s="62"/>
    </row>
    <row r="69" spans="1:13">
      <c r="A69" s="62" t="s">
        <v>272</v>
      </c>
      <c r="B69" s="72">
        <v>106215</v>
      </c>
      <c r="C69" s="72">
        <v>130162</v>
      </c>
      <c r="D69" s="72">
        <v>164065</v>
      </c>
      <c r="E69" s="72">
        <v>170430</v>
      </c>
      <c r="F69" s="72">
        <v>194714</v>
      </c>
      <c r="G69" s="72">
        <v>170799</v>
      </c>
      <c r="H69" s="72">
        <v>105341</v>
      </c>
      <c r="I69" s="72">
        <v>100887</v>
      </c>
      <c r="J69" s="72">
        <v>127877</v>
      </c>
      <c r="K69" s="72">
        <v>120805</v>
      </c>
      <c r="L69" s="72">
        <v>100544</v>
      </c>
      <c r="M69" s="72">
        <v>99475</v>
      </c>
    </row>
    <row r="70" spans="1:13" ht="17">
      <c r="A70" s="73" t="s">
        <v>273</v>
      </c>
      <c r="B70" s="74" t="s">
        <v>35</v>
      </c>
      <c r="C70" s="74" t="s">
        <v>35</v>
      </c>
      <c r="D70" s="74" t="s">
        <v>35</v>
      </c>
      <c r="E70" s="74" t="s">
        <v>35</v>
      </c>
      <c r="F70" s="74" t="s">
        <v>35</v>
      </c>
      <c r="G70" s="74" t="s">
        <v>35</v>
      </c>
      <c r="H70" s="74" t="s">
        <v>35</v>
      </c>
      <c r="I70" s="74" t="s">
        <v>35</v>
      </c>
      <c r="J70" s="74" t="s">
        <v>35</v>
      </c>
      <c r="K70" s="74" t="s">
        <v>35</v>
      </c>
      <c r="L70" s="74" t="s">
        <v>35</v>
      </c>
      <c r="M70" s="74">
        <v>99475</v>
      </c>
    </row>
    <row r="71" spans="1:13" ht="17">
      <c r="A71" s="73" t="s">
        <v>274</v>
      </c>
      <c r="B71" s="74">
        <v>106215</v>
      </c>
      <c r="C71" s="74">
        <v>130162</v>
      </c>
      <c r="D71" s="74">
        <v>164065</v>
      </c>
      <c r="E71" s="74">
        <v>170430</v>
      </c>
      <c r="F71" s="74">
        <v>194714</v>
      </c>
      <c r="G71" s="74">
        <v>170799</v>
      </c>
      <c r="H71" s="74">
        <v>105341</v>
      </c>
      <c r="I71" s="74">
        <v>100887</v>
      </c>
      <c r="J71" s="74">
        <v>127877</v>
      </c>
      <c r="K71" s="74">
        <v>120805</v>
      </c>
      <c r="L71" s="74">
        <v>100544</v>
      </c>
      <c r="M71" s="74" t="s">
        <v>35</v>
      </c>
    </row>
    <row r="72" spans="1:13" ht="17">
      <c r="A72" s="62" t="s">
        <v>275</v>
      </c>
      <c r="B72" s="72">
        <v>1577</v>
      </c>
      <c r="C72" s="72">
        <v>4616</v>
      </c>
      <c r="D72" s="72">
        <v>5116</v>
      </c>
      <c r="E72" s="72">
        <v>5414</v>
      </c>
      <c r="F72" s="72" t="s">
        <v>35</v>
      </c>
      <c r="G72" s="72" t="s">
        <v>35</v>
      </c>
      <c r="H72" s="72" t="s">
        <v>35</v>
      </c>
      <c r="I72" s="72" t="s">
        <v>35</v>
      </c>
      <c r="J72" s="72" t="s">
        <v>35</v>
      </c>
      <c r="K72" s="72" t="s">
        <v>35</v>
      </c>
      <c r="L72" s="72" t="s">
        <v>35</v>
      </c>
      <c r="M72" s="72" t="s">
        <v>35</v>
      </c>
    </row>
    <row r="73" spans="1:13" ht="17">
      <c r="A73" s="73" t="s">
        <v>276</v>
      </c>
      <c r="B73" s="74">
        <v>1577</v>
      </c>
      <c r="C73" s="74">
        <v>4616</v>
      </c>
      <c r="D73" s="74">
        <v>5116</v>
      </c>
      <c r="E73" s="74">
        <v>5414</v>
      </c>
      <c r="F73" s="74" t="s">
        <v>35</v>
      </c>
      <c r="G73" s="74" t="s">
        <v>35</v>
      </c>
      <c r="H73" s="74" t="s">
        <v>35</v>
      </c>
      <c r="I73" s="74" t="s">
        <v>35</v>
      </c>
      <c r="J73" s="74" t="s">
        <v>35</v>
      </c>
      <c r="K73" s="74" t="s">
        <v>35</v>
      </c>
      <c r="L73" s="74" t="s">
        <v>35</v>
      </c>
      <c r="M73" s="74" t="s">
        <v>35</v>
      </c>
    </row>
    <row r="74" spans="1:13" ht="17">
      <c r="A74" s="62" t="s">
        <v>277</v>
      </c>
      <c r="B74" s="72">
        <v>4179</v>
      </c>
      <c r="C74" s="72">
        <v>4142</v>
      </c>
      <c r="D74" s="72">
        <v>3893</v>
      </c>
      <c r="E74" s="72">
        <v>3206</v>
      </c>
      <c r="F74" s="72" t="s">
        <v>35</v>
      </c>
      <c r="G74" s="72" t="s">
        <v>35</v>
      </c>
      <c r="H74" s="72" t="s">
        <v>35</v>
      </c>
      <c r="I74" s="72" t="s">
        <v>35</v>
      </c>
      <c r="J74" s="72" t="s">
        <v>35</v>
      </c>
      <c r="K74" s="72" t="s">
        <v>35</v>
      </c>
      <c r="L74" s="72" t="s">
        <v>35</v>
      </c>
      <c r="M74" s="72" t="s">
        <v>35</v>
      </c>
    </row>
    <row r="75" spans="1:13" ht="17">
      <c r="A75" s="73" t="s">
        <v>278</v>
      </c>
      <c r="B75" s="74">
        <v>-2002</v>
      </c>
      <c r="C75" s="74">
        <v>-3085</v>
      </c>
      <c r="D75" s="74">
        <v>-4332</v>
      </c>
      <c r="E75" s="74">
        <v>-5806</v>
      </c>
      <c r="F75" s="74" t="s">
        <v>35</v>
      </c>
      <c r="G75" s="74" t="s">
        <v>35</v>
      </c>
      <c r="H75" s="74" t="s">
        <v>35</v>
      </c>
      <c r="I75" s="74" t="s">
        <v>35</v>
      </c>
      <c r="J75" s="74" t="s">
        <v>35</v>
      </c>
      <c r="K75" s="74" t="s">
        <v>35</v>
      </c>
      <c r="L75" s="74" t="s">
        <v>35</v>
      </c>
      <c r="M75" s="74" t="s">
        <v>35</v>
      </c>
    </row>
    <row r="76" spans="1:13" ht="17">
      <c r="A76" s="73" t="s">
        <v>279</v>
      </c>
      <c r="B76" s="74">
        <v>6181</v>
      </c>
      <c r="C76" s="74">
        <v>7127</v>
      </c>
      <c r="D76" s="74">
        <v>8225</v>
      </c>
      <c r="E76" s="74">
        <v>9012</v>
      </c>
      <c r="F76" s="74" t="s">
        <v>35</v>
      </c>
      <c r="G76" s="74" t="s">
        <v>35</v>
      </c>
      <c r="H76" s="74" t="s">
        <v>35</v>
      </c>
      <c r="I76" s="74" t="s">
        <v>35</v>
      </c>
      <c r="J76" s="74" t="s">
        <v>35</v>
      </c>
      <c r="K76" s="74" t="s">
        <v>35</v>
      </c>
      <c r="L76" s="74" t="s">
        <v>35</v>
      </c>
      <c r="M76" s="74" t="s">
        <v>35</v>
      </c>
    </row>
    <row r="77" spans="1:13" ht="17">
      <c r="A77" s="73" t="s">
        <v>279</v>
      </c>
      <c r="B77" s="74" t="s">
        <v>35</v>
      </c>
      <c r="C77" s="74">
        <v>100</v>
      </c>
      <c r="D77" s="74" t="s">
        <v>35</v>
      </c>
      <c r="E77" s="74" t="s">
        <v>35</v>
      </c>
      <c r="F77" s="74" t="s">
        <v>35</v>
      </c>
      <c r="G77" s="74" t="s">
        <v>35</v>
      </c>
      <c r="H77" s="74" t="s">
        <v>35</v>
      </c>
      <c r="I77" s="74" t="s">
        <v>35</v>
      </c>
      <c r="J77" s="74" t="s">
        <v>35</v>
      </c>
      <c r="K77" s="74" t="s">
        <v>35</v>
      </c>
      <c r="L77" s="74" t="s">
        <v>35</v>
      </c>
      <c r="M77" s="74" t="s">
        <v>35</v>
      </c>
    </row>
    <row r="78" spans="1:13">
      <c r="A78" s="62" t="s">
        <v>280</v>
      </c>
      <c r="B78" s="72">
        <v>5146</v>
      </c>
      <c r="C78" s="72">
        <v>3764</v>
      </c>
      <c r="D78" s="72">
        <v>5422</v>
      </c>
      <c r="E78" s="72">
        <v>8757</v>
      </c>
      <c r="F78" s="72">
        <v>18177</v>
      </c>
      <c r="G78" s="72">
        <v>22283</v>
      </c>
      <c r="H78" s="72">
        <v>32978</v>
      </c>
      <c r="I78" s="72">
        <v>33952</v>
      </c>
      <c r="J78" s="72">
        <v>38762</v>
      </c>
      <c r="K78" s="72">
        <v>44011</v>
      </c>
      <c r="L78" s="72">
        <v>54097</v>
      </c>
      <c r="M78" s="72">
        <v>66681</v>
      </c>
    </row>
    <row r="79" spans="1:13" ht="17">
      <c r="A79" s="73" t="s">
        <v>281</v>
      </c>
      <c r="B79" s="74">
        <v>5146</v>
      </c>
      <c r="C79" s="74">
        <v>3764</v>
      </c>
      <c r="D79" s="74">
        <v>5422</v>
      </c>
      <c r="E79" s="74">
        <v>8757</v>
      </c>
      <c r="F79" s="74">
        <v>18177</v>
      </c>
      <c r="G79" s="74">
        <v>22283</v>
      </c>
      <c r="H79" s="74" t="s">
        <v>35</v>
      </c>
      <c r="I79" s="74" t="s">
        <v>35</v>
      </c>
      <c r="J79" s="74" t="s">
        <v>35</v>
      </c>
      <c r="K79" s="74" t="s">
        <v>35</v>
      </c>
      <c r="L79" s="74" t="s">
        <v>35</v>
      </c>
      <c r="M79" s="74" t="s">
        <v>35</v>
      </c>
    </row>
    <row r="80" spans="1:13" ht="17">
      <c r="A80" s="73" t="s">
        <v>282</v>
      </c>
      <c r="B80" s="74" t="s">
        <v>35</v>
      </c>
      <c r="C80" s="74" t="s">
        <v>35</v>
      </c>
      <c r="D80" s="74" t="s">
        <v>35</v>
      </c>
      <c r="E80" s="74" t="s">
        <v>35</v>
      </c>
      <c r="F80" s="74" t="s">
        <v>35</v>
      </c>
      <c r="G80" s="74" t="s">
        <v>35</v>
      </c>
      <c r="H80" s="74">
        <v>32978</v>
      </c>
      <c r="I80" s="74">
        <v>42522</v>
      </c>
      <c r="J80" s="74">
        <v>48849</v>
      </c>
      <c r="K80" s="74">
        <v>54428</v>
      </c>
      <c r="L80" s="74">
        <v>64758</v>
      </c>
      <c r="M80" s="74">
        <v>66681</v>
      </c>
    </row>
    <row r="81" spans="1:13" ht="17">
      <c r="A81" s="73" t="s">
        <v>283</v>
      </c>
      <c r="B81" s="74" t="s">
        <v>35</v>
      </c>
      <c r="C81" s="74" t="s">
        <v>35</v>
      </c>
      <c r="D81" s="74" t="s">
        <v>35</v>
      </c>
      <c r="E81" s="74" t="s">
        <v>35</v>
      </c>
      <c r="F81" s="74" t="s">
        <v>35</v>
      </c>
      <c r="G81" s="74" t="s">
        <v>35</v>
      </c>
      <c r="H81" s="74">
        <v>1357</v>
      </c>
      <c r="I81" s="74">
        <v>8570</v>
      </c>
      <c r="J81" s="74">
        <v>10087</v>
      </c>
      <c r="K81" s="74">
        <v>10417</v>
      </c>
      <c r="L81" s="74">
        <v>10661</v>
      </c>
      <c r="M81" s="74" t="s">
        <v>35</v>
      </c>
    </row>
    <row r="82" spans="1:13" ht="17">
      <c r="A82" s="73" t="s">
        <v>284</v>
      </c>
      <c r="B82" s="74" t="s">
        <v>35</v>
      </c>
      <c r="C82" s="74" t="s">
        <v>35</v>
      </c>
      <c r="D82" s="74" t="s">
        <v>35</v>
      </c>
      <c r="E82" s="74" t="s">
        <v>35</v>
      </c>
      <c r="F82" s="74" t="s">
        <v>35</v>
      </c>
      <c r="G82" s="74" t="s">
        <v>35</v>
      </c>
      <c r="H82" s="74">
        <v>1357</v>
      </c>
      <c r="I82" s="74" t="s">
        <v>35</v>
      </c>
      <c r="J82" s="74" t="s">
        <v>35</v>
      </c>
      <c r="K82" s="74" t="s">
        <v>35</v>
      </c>
      <c r="L82" s="74" t="s">
        <v>35</v>
      </c>
      <c r="M82" s="74" t="s">
        <v>35</v>
      </c>
    </row>
    <row r="83" spans="1:13">
      <c r="A83" s="71" t="s">
        <v>285</v>
      </c>
      <c r="B83" s="77">
        <v>207000</v>
      </c>
      <c r="C83" s="77">
        <v>231839</v>
      </c>
      <c r="D83" s="77">
        <v>290345</v>
      </c>
      <c r="E83" s="77">
        <v>321686</v>
      </c>
      <c r="F83" s="77">
        <v>375319</v>
      </c>
      <c r="G83" s="77">
        <v>365725</v>
      </c>
      <c r="H83" s="77">
        <v>338516</v>
      </c>
      <c r="I83" s="77">
        <v>323888</v>
      </c>
      <c r="J83" s="77">
        <v>351002</v>
      </c>
      <c r="K83" s="77">
        <v>352755</v>
      </c>
      <c r="L83" s="77">
        <v>352583</v>
      </c>
      <c r="M83" s="77">
        <v>353514</v>
      </c>
    </row>
    <row r="84" spans="1:13">
      <c r="A84" s="62"/>
      <c r="B84" s="62"/>
      <c r="C84" s="62"/>
      <c r="D84" s="62"/>
      <c r="E84" s="62"/>
      <c r="F84" s="62"/>
      <c r="G84" s="62"/>
      <c r="H84" s="62"/>
      <c r="I84" s="62"/>
      <c r="J84" s="62"/>
      <c r="K84" s="62"/>
      <c r="L84" s="62"/>
      <c r="M84" s="62"/>
    </row>
    <row r="85" spans="1:13">
      <c r="A85" s="71" t="s">
        <v>286</v>
      </c>
      <c r="B85" s="62"/>
      <c r="C85" s="62"/>
      <c r="D85" s="62"/>
      <c r="E85" s="62"/>
      <c r="F85" s="62"/>
      <c r="G85" s="62"/>
      <c r="H85" s="62"/>
      <c r="I85" s="62"/>
      <c r="J85" s="62"/>
      <c r="K85" s="62"/>
      <c r="L85" s="62"/>
      <c r="M85" s="62"/>
    </row>
    <row r="86" spans="1:13">
      <c r="A86" s="62" t="s">
        <v>287</v>
      </c>
      <c r="B86" s="72">
        <v>22367</v>
      </c>
      <c r="C86" s="72">
        <v>30196</v>
      </c>
      <c r="D86" s="72">
        <v>35490</v>
      </c>
      <c r="E86" s="72">
        <v>37294</v>
      </c>
      <c r="F86" s="72">
        <v>44242</v>
      </c>
      <c r="G86" s="72">
        <v>55888</v>
      </c>
      <c r="H86" s="72">
        <v>46236</v>
      </c>
      <c r="I86" s="72">
        <v>42296</v>
      </c>
      <c r="J86" s="72">
        <v>54763</v>
      </c>
      <c r="K86" s="72">
        <v>64115</v>
      </c>
      <c r="L86" s="72">
        <v>62611</v>
      </c>
      <c r="M86" s="72">
        <v>58146</v>
      </c>
    </row>
    <row r="87" spans="1:13" ht="17">
      <c r="A87" s="73" t="s">
        <v>288</v>
      </c>
      <c r="B87" s="74">
        <v>22367</v>
      </c>
      <c r="C87" s="74">
        <v>30196</v>
      </c>
      <c r="D87" s="74">
        <v>35490</v>
      </c>
      <c r="E87" s="74">
        <v>37294</v>
      </c>
      <c r="F87" s="74">
        <v>44242</v>
      </c>
      <c r="G87" s="74">
        <v>55888</v>
      </c>
      <c r="H87" s="74">
        <v>46236</v>
      </c>
      <c r="I87" s="74">
        <v>42296</v>
      </c>
      <c r="J87" s="74">
        <v>54763</v>
      </c>
      <c r="K87" s="74">
        <v>64115</v>
      </c>
      <c r="L87" s="74">
        <v>62611</v>
      </c>
      <c r="M87" s="74" t="s">
        <v>35</v>
      </c>
    </row>
    <row r="88" spans="1:13" ht="17">
      <c r="A88" s="73" t="s">
        <v>289</v>
      </c>
      <c r="B88" s="74" t="s">
        <v>35</v>
      </c>
      <c r="C88" s="74" t="s">
        <v>35</v>
      </c>
      <c r="D88" s="74" t="s">
        <v>35</v>
      </c>
      <c r="E88" s="74" t="s">
        <v>35</v>
      </c>
      <c r="F88" s="74" t="s">
        <v>35</v>
      </c>
      <c r="G88" s="74" t="s">
        <v>35</v>
      </c>
      <c r="H88" s="74" t="s">
        <v>35</v>
      </c>
      <c r="I88" s="74" t="s">
        <v>35</v>
      </c>
      <c r="J88" s="74" t="s">
        <v>35</v>
      </c>
      <c r="K88" s="74" t="s">
        <v>35</v>
      </c>
      <c r="L88" s="74" t="s">
        <v>35</v>
      </c>
      <c r="M88" s="74">
        <v>58146</v>
      </c>
    </row>
    <row r="89" spans="1:13" ht="17">
      <c r="A89" s="62" t="s">
        <v>290</v>
      </c>
      <c r="B89" s="72">
        <v>8427</v>
      </c>
      <c r="C89" s="72">
        <v>18372</v>
      </c>
      <c r="D89" s="72">
        <v>23169</v>
      </c>
      <c r="E89" s="72">
        <v>21864</v>
      </c>
      <c r="F89" s="72" t="s">
        <v>35</v>
      </c>
      <c r="G89" s="72" t="s">
        <v>35</v>
      </c>
      <c r="H89" s="72" t="s">
        <v>35</v>
      </c>
      <c r="I89" s="72" t="s">
        <v>35</v>
      </c>
      <c r="J89" s="72" t="s">
        <v>35</v>
      </c>
      <c r="K89" s="72" t="s">
        <v>35</v>
      </c>
      <c r="L89" s="72" t="s">
        <v>35</v>
      </c>
      <c r="M89" s="72" t="s">
        <v>35</v>
      </c>
    </row>
    <row r="90" spans="1:13" ht="17">
      <c r="A90" s="73" t="s">
        <v>291</v>
      </c>
      <c r="B90" s="74">
        <v>13856</v>
      </c>
      <c r="C90" s="74">
        <v>18453</v>
      </c>
      <c r="D90" s="74">
        <v>25181</v>
      </c>
      <c r="E90" s="74">
        <v>22027</v>
      </c>
      <c r="F90" s="74" t="s">
        <v>35</v>
      </c>
      <c r="G90" s="74" t="s">
        <v>35</v>
      </c>
      <c r="H90" s="74" t="s">
        <v>35</v>
      </c>
      <c r="I90" s="74" t="s">
        <v>35</v>
      </c>
      <c r="J90" s="74" t="s">
        <v>35</v>
      </c>
      <c r="K90" s="74" t="s">
        <v>35</v>
      </c>
      <c r="L90" s="74" t="s">
        <v>35</v>
      </c>
      <c r="M90" s="74" t="s">
        <v>35</v>
      </c>
    </row>
    <row r="91" spans="1:13" ht="17">
      <c r="A91" s="73" t="s">
        <v>292</v>
      </c>
      <c r="B91" s="74">
        <v>2967</v>
      </c>
      <c r="C91" s="74">
        <v>81</v>
      </c>
      <c r="D91" s="74">
        <v>999</v>
      </c>
      <c r="E91" s="74">
        <v>163</v>
      </c>
      <c r="F91" s="74" t="s">
        <v>35</v>
      </c>
      <c r="G91" s="74" t="s">
        <v>35</v>
      </c>
      <c r="H91" s="74" t="s">
        <v>35</v>
      </c>
      <c r="I91" s="74" t="s">
        <v>35</v>
      </c>
      <c r="J91" s="74" t="s">
        <v>35</v>
      </c>
      <c r="K91" s="74" t="s">
        <v>35</v>
      </c>
      <c r="L91" s="74" t="s">
        <v>35</v>
      </c>
      <c r="M91" s="74" t="s">
        <v>35</v>
      </c>
    </row>
    <row r="92" spans="1:13" ht="17">
      <c r="A92" s="73" t="s">
        <v>293</v>
      </c>
      <c r="B92" s="74">
        <v>1291</v>
      </c>
      <c r="C92" s="74" t="s">
        <v>35</v>
      </c>
      <c r="D92" s="74">
        <v>13</v>
      </c>
      <c r="E92" s="74" t="s">
        <v>35</v>
      </c>
      <c r="F92" s="74" t="s">
        <v>35</v>
      </c>
      <c r="G92" s="74" t="s">
        <v>35</v>
      </c>
      <c r="H92" s="74" t="s">
        <v>35</v>
      </c>
      <c r="I92" s="74" t="s">
        <v>35</v>
      </c>
      <c r="J92" s="74" t="s">
        <v>35</v>
      </c>
      <c r="K92" s="74" t="s">
        <v>35</v>
      </c>
      <c r="L92" s="74" t="s">
        <v>35</v>
      </c>
      <c r="M92" s="74" t="s">
        <v>35</v>
      </c>
    </row>
    <row r="93" spans="1:13" ht="17">
      <c r="A93" s="73" t="s">
        <v>294</v>
      </c>
      <c r="B93" s="74">
        <v>1200</v>
      </c>
      <c r="C93" s="74" t="s">
        <v>35</v>
      </c>
      <c r="D93" s="74" t="s">
        <v>35</v>
      </c>
      <c r="E93" s="74" t="s">
        <v>35</v>
      </c>
      <c r="F93" s="74" t="s">
        <v>35</v>
      </c>
      <c r="G93" s="74" t="s">
        <v>35</v>
      </c>
      <c r="H93" s="74" t="s">
        <v>35</v>
      </c>
      <c r="I93" s="74" t="s">
        <v>35</v>
      </c>
      <c r="J93" s="74" t="s">
        <v>35</v>
      </c>
      <c r="K93" s="74" t="s">
        <v>35</v>
      </c>
      <c r="L93" s="74" t="s">
        <v>35</v>
      </c>
      <c r="M93" s="74" t="s">
        <v>35</v>
      </c>
    </row>
    <row r="94" spans="1:13" ht="17">
      <c r="A94" s="73" t="s">
        <v>293</v>
      </c>
      <c r="B94" s="74">
        <v>959</v>
      </c>
      <c r="C94" s="74" t="s">
        <v>35</v>
      </c>
      <c r="D94" s="74">
        <v>1000</v>
      </c>
      <c r="E94" s="74" t="s">
        <v>35</v>
      </c>
      <c r="F94" s="74" t="s">
        <v>35</v>
      </c>
      <c r="G94" s="74" t="s">
        <v>35</v>
      </c>
      <c r="H94" s="74" t="s">
        <v>35</v>
      </c>
      <c r="I94" s="74" t="s">
        <v>35</v>
      </c>
      <c r="J94" s="74" t="s">
        <v>35</v>
      </c>
      <c r="K94" s="74" t="s">
        <v>35</v>
      </c>
      <c r="L94" s="74" t="s">
        <v>35</v>
      </c>
      <c r="M94" s="74" t="s">
        <v>35</v>
      </c>
    </row>
    <row r="95" spans="1:13" ht="17">
      <c r="A95" s="73" t="s">
        <v>295</v>
      </c>
      <c r="B95" s="74">
        <v>1262</v>
      </c>
      <c r="C95" s="74" t="s">
        <v>35</v>
      </c>
      <c r="D95" s="74" t="s">
        <v>35</v>
      </c>
      <c r="E95" s="74" t="s">
        <v>35</v>
      </c>
      <c r="F95" s="74" t="s">
        <v>35</v>
      </c>
      <c r="G95" s="74" t="s">
        <v>35</v>
      </c>
      <c r="H95" s="74" t="s">
        <v>35</v>
      </c>
      <c r="I95" s="74" t="s">
        <v>35</v>
      </c>
      <c r="J95" s="74" t="s">
        <v>35</v>
      </c>
      <c r="K95" s="74" t="s">
        <v>35</v>
      </c>
      <c r="L95" s="74" t="s">
        <v>35</v>
      </c>
      <c r="M95" s="74" t="s">
        <v>35</v>
      </c>
    </row>
    <row r="96" spans="1:13" ht="17">
      <c r="A96" s="73" t="s">
        <v>293</v>
      </c>
      <c r="B96" s="74">
        <v>6177</v>
      </c>
      <c r="C96" s="74" t="s">
        <v>35</v>
      </c>
      <c r="D96" s="74" t="s">
        <v>35</v>
      </c>
      <c r="E96" s="74" t="s">
        <v>35</v>
      </c>
      <c r="F96" s="74" t="s">
        <v>35</v>
      </c>
      <c r="G96" s="74" t="s">
        <v>35</v>
      </c>
      <c r="H96" s="74" t="s">
        <v>35</v>
      </c>
      <c r="I96" s="74" t="s">
        <v>35</v>
      </c>
      <c r="J96" s="74" t="s">
        <v>35</v>
      </c>
      <c r="K96" s="74" t="s">
        <v>35</v>
      </c>
      <c r="L96" s="74" t="s">
        <v>35</v>
      </c>
      <c r="M96" s="74" t="s">
        <v>35</v>
      </c>
    </row>
    <row r="97" spans="1:13" ht="17">
      <c r="A97" s="73" t="s">
        <v>296</v>
      </c>
      <c r="B97" s="74">
        <v>13856</v>
      </c>
      <c r="C97" s="74" t="s">
        <v>35</v>
      </c>
      <c r="D97" s="74" t="s">
        <v>35</v>
      </c>
      <c r="E97" s="74" t="s">
        <v>35</v>
      </c>
      <c r="F97" s="74" t="s">
        <v>35</v>
      </c>
      <c r="G97" s="74" t="s">
        <v>35</v>
      </c>
      <c r="H97" s="74" t="s">
        <v>35</v>
      </c>
      <c r="I97" s="74" t="s">
        <v>35</v>
      </c>
      <c r="J97" s="74" t="s">
        <v>35</v>
      </c>
      <c r="K97" s="74" t="s">
        <v>35</v>
      </c>
      <c r="L97" s="74" t="s">
        <v>35</v>
      </c>
      <c r="M97" s="74" t="s">
        <v>35</v>
      </c>
    </row>
    <row r="98" spans="1:13" ht="17">
      <c r="A98" s="73" t="s">
        <v>297</v>
      </c>
      <c r="B98" s="74">
        <v>2967</v>
      </c>
      <c r="C98" s="74" t="s">
        <v>35</v>
      </c>
      <c r="D98" s="74" t="s">
        <v>35</v>
      </c>
      <c r="E98" s="74" t="s">
        <v>35</v>
      </c>
      <c r="F98" s="74" t="s">
        <v>35</v>
      </c>
      <c r="G98" s="74" t="s">
        <v>35</v>
      </c>
      <c r="H98" s="74" t="s">
        <v>35</v>
      </c>
      <c r="I98" s="74" t="s">
        <v>35</v>
      </c>
      <c r="J98" s="74" t="s">
        <v>35</v>
      </c>
      <c r="K98" s="74" t="s">
        <v>35</v>
      </c>
      <c r="L98" s="74" t="s">
        <v>35</v>
      </c>
      <c r="M98" s="74" t="s">
        <v>35</v>
      </c>
    </row>
    <row r="99" spans="1:13" ht="17">
      <c r="A99" s="73" t="s">
        <v>293</v>
      </c>
      <c r="B99" s="74">
        <v>1291</v>
      </c>
      <c r="C99" s="74" t="s">
        <v>35</v>
      </c>
      <c r="D99" s="74" t="s">
        <v>35</v>
      </c>
      <c r="E99" s="74" t="s">
        <v>35</v>
      </c>
      <c r="F99" s="74" t="s">
        <v>35</v>
      </c>
      <c r="G99" s="74" t="s">
        <v>35</v>
      </c>
      <c r="H99" s="74" t="s">
        <v>35</v>
      </c>
      <c r="I99" s="74" t="s">
        <v>35</v>
      </c>
      <c r="J99" s="74" t="s">
        <v>35</v>
      </c>
      <c r="K99" s="74" t="s">
        <v>35</v>
      </c>
      <c r="L99" s="74" t="s">
        <v>35</v>
      </c>
      <c r="M99" s="74" t="s">
        <v>35</v>
      </c>
    </row>
    <row r="100" spans="1:13" ht="17">
      <c r="A100" s="73" t="s">
        <v>294</v>
      </c>
      <c r="B100" s="74">
        <v>1200</v>
      </c>
      <c r="C100" s="74" t="s">
        <v>35</v>
      </c>
      <c r="D100" s="74" t="s">
        <v>35</v>
      </c>
      <c r="E100" s="74" t="s">
        <v>35</v>
      </c>
      <c r="F100" s="74" t="s">
        <v>35</v>
      </c>
      <c r="G100" s="74" t="s">
        <v>35</v>
      </c>
      <c r="H100" s="74" t="s">
        <v>35</v>
      </c>
      <c r="I100" s="74" t="s">
        <v>35</v>
      </c>
      <c r="J100" s="74" t="s">
        <v>35</v>
      </c>
      <c r="K100" s="74" t="s">
        <v>35</v>
      </c>
      <c r="L100" s="74" t="s">
        <v>35</v>
      </c>
      <c r="M100" s="74" t="s">
        <v>35</v>
      </c>
    </row>
    <row r="101" spans="1:13" ht="17">
      <c r="A101" s="73" t="s">
        <v>293</v>
      </c>
      <c r="B101" s="74">
        <v>959</v>
      </c>
      <c r="C101" s="74" t="s">
        <v>35</v>
      </c>
      <c r="D101" s="74" t="s">
        <v>35</v>
      </c>
      <c r="E101" s="74" t="s">
        <v>35</v>
      </c>
      <c r="F101" s="74" t="s">
        <v>35</v>
      </c>
      <c r="G101" s="74" t="s">
        <v>35</v>
      </c>
      <c r="H101" s="74" t="s">
        <v>35</v>
      </c>
      <c r="I101" s="74" t="s">
        <v>35</v>
      </c>
      <c r="J101" s="74" t="s">
        <v>35</v>
      </c>
      <c r="K101" s="74" t="s">
        <v>35</v>
      </c>
      <c r="L101" s="74" t="s">
        <v>35</v>
      </c>
      <c r="M101" s="74" t="s">
        <v>35</v>
      </c>
    </row>
    <row r="102" spans="1:13" ht="17">
      <c r="A102" s="73" t="s">
        <v>295</v>
      </c>
      <c r="B102" s="74">
        <v>1262</v>
      </c>
      <c r="C102" s="74" t="s">
        <v>35</v>
      </c>
      <c r="D102" s="74" t="s">
        <v>35</v>
      </c>
      <c r="E102" s="74" t="s">
        <v>35</v>
      </c>
      <c r="F102" s="74" t="s">
        <v>35</v>
      </c>
      <c r="G102" s="74" t="s">
        <v>35</v>
      </c>
      <c r="H102" s="74" t="s">
        <v>35</v>
      </c>
      <c r="I102" s="74" t="s">
        <v>35</v>
      </c>
      <c r="J102" s="74" t="s">
        <v>35</v>
      </c>
      <c r="K102" s="74" t="s">
        <v>35</v>
      </c>
      <c r="L102" s="74" t="s">
        <v>35</v>
      </c>
      <c r="M102" s="74" t="s">
        <v>35</v>
      </c>
    </row>
    <row r="103" spans="1:13" ht="17">
      <c r="A103" s="73" t="s">
        <v>293</v>
      </c>
      <c r="B103" s="74">
        <v>6177</v>
      </c>
      <c r="C103" s="74" t="s">
        <v>35</v>
      </c>
      <c r="D103" s="74" t="s">
        <v>35</v>
      </c>
      <c r="E103" s="74" t="s">
        <v>35</v>
      </c>
      <c r="F103" s="74" t="s">
        <v>35</v>
      </c>
      <c r="G103" s="74" t="s">
        <v>35</v>
      </c>
      <c r="H103" s="74" t="s">
        <v>35</v>
      </c>
      <c r="I103" s="74" t="s">
        <v>35</v>
      </c>
      <c r="J103" s="74" t="s">
        <v>35</v>
      </c>
      <c r="K103" s="74" t="s">
        <v>35</v>
      </c>
      <c r="L103" s="74" t="s">
        <v>35</v>
      </c>
      <c r="M103" s="74" t="s">
        <v>35</v>
      </c>
    </row>
    <row r="104" spans="1:13" ht="17">
      <c r="A104" s="73" t="s">
        <v>296</v>
      </c>
      <c r="B104" s="74">
        <v>13856</v>
      </c>
      <c r="C104" s="74" t="s">
        <v>35</v>
      </c>
      <c r="D104" s="74" t="s">
        <v>35</v>
      </c>
      <c r="E104" s="74" t="s">
        <v>35</v>
      </c>
      <c r="F104" s="74" t="s">
        <v>35</v>
      </c>
      <c r="G104" s="74" t="s">
        <v>35</v>
      </c>
      <c r="H104" s="74" t="s">
        <v>35</v>
      </c>
      <c r="I104" s="74" t="s">
        <v>35</v>
      </c>
      <c r="J104" s="74" t="s">
        <v>35</v>
      </c>
      <c r="K104" s="74" t="s">
        <v>35</v>
      </c>
      <c r="L104" s="74" t="s">
        <v>35</v>
      </c>
      <c r="M104" s="74" t="s">
        <v>35</v>
      </c>
    </row>
    <row r="105" spans="1:13" ht="17">
      <c r="A105" s="73" t="s">
        <v>297</v>
      </c>
      <c r="B105" s="74">
        <v>2967</v>
      </c>
      <c r="C105" s="74" t="s">
        <v>35</v>
      </c>
      <c r="D105" s="74" t="s">
        <v>35</v>
      </c>
      <c r="E105" s="74" t="s">
        <v>35</v>
      </c>
      <c r="F105" s="74" t="s">
        <v>35</v>
      </c>
      <c r="G105" s="74" t="s">
        <v>35</v>
      </c>
      <c r="H105" s="74" t="s">
        <v>35</v>
      </c>
      <c r="I105" s="74" t="s">
        <v>35</v>
      </c>
      <c r="J105" s="74" t="s">
        <v>35</v>
      </c>
      <c r="K105" s="74" t="s">
        <v>35</v>
      </c>
      <c r="L105" s="74" t="s">
        <v>35</v>
      </c>
      <c r="M105" s="74" t="s">
        <v>35</v>
      </c>
    </row>
    <row r="106" spans="1:13" ht="17">
      <c r="A106" s="73" t="s">
        <v>294</v>
      </c>
      <c r="B106" s="74">
        <v>1200</v>
      </c>
      <c r="C106" s="74" t="s">
        <v>35</v>
      </c>
      <c r="D106" s="74" t="s">
        <v>35</v>
      </c>
      <c r="E106" s="74" t="s">
        <v>35</v>
      </c>
      <c r="F106" s="74" t="s">
        <v>35</v>
      </c>
      <c r="G106" s="74" t="s">
        <v>35</v>
      </c>
      <c r="H106" s="74" t="s">
        <v>35</v>
      </c>
      <c r="I106" s="74" t="s">
        <v>35</v>
      </c>
      <c r="J106" s="74" t="s">
        <v>35</v>
      </c>
      <c r="K106" s="74" t="s">
        <v>35</v>
      </c>
      <c r="L106" s="74" t="s">
        <v>35</v>
      </c>
      <c r="M106" s="74" t="s">
        <v>35</v>
      </c>
    </row>
    <row r="107" spans="1:13" ht="17">
      <c r="A107" s="73" t="s">
        <v>295</v>
      </c>
      <c r="B107" s="74">
        <v>1262</v>
      </c>
      <c r="C107" s="74" t="s">
        <v>35</v>
      </c>
      <c r="D107" s="74" t="s">
        <v>35</v>
      </c>
      <c r="E107" s="74" t="s">
        <v>35</v>
      </c>
      <c r="F107" s="74" t="s">
        <v>35</v>
      </c>
      <c r="G107" s="74" t="s">
        <v>35</v>
      </c>
      <c r="H107" s="74" t="s">
        <v>35</v>
      </c>
      <c r="I107" s="74" t="s">
        <v>35</v>
      </c>
      <c r="J107" s="74" t="s">
        <v>35</v>
      </c>
      <c r="K107" s="74" t="s">
        <v>35</v>
      </c>
      <c r="L107" s="74" t="s">
        <v>35</v>
      </c>
      <c r="M107" s="74" t="s">
        <v>35</v>
      </c>
    </row>
    <row r="108" spans="1:13" ht="17">
      <c r="A108" s="62" t="s">
        <v>298</v>
      </c>
      <c r="B108" s="72" t="s">
        <v>35</v>
      </c>
      <c r="C108" s="72">
        <v>6308</v>
      </c>
      <c r="D108" s="72">
        <v>8499</v>
      </c>
      <c r="E108" s="72">
        <v>8105</v>
      </c>
      <c r="F108" s="72">
        <v>11977</v>
      </c>
      <c r="G108" s="72">
        <v>11964</v>
      </c>
      <c r="H108" s="72">
        <v>5980</v>
      </c>
      <c r="I108" s="72">
        <v>4996</v>
      </c>
      <c r="J108" s="72">
        <v>6000</v>
      </c>
      <c r="K108" s="72">
        <v>9982</v>
      </c>
      <c r="L108" s="72">
        <v>5985</v>
      </c>
      <c r="M108" s="72">
        <v>1998</v>
      </c>
    </row>
    <row r="109" spans="1:13" ht="17">
      <c r="A109" s="73" t="s">
        <v>299</v>
      </c>
      <c r="B109" s="74" t="s">
        <v>35</v>
      </c>
      <c r="C109" s="74" t="s">
        <v>35</v>
      </c>
      <c r="D109" s="74" t="s">
        <v>35</v>
      </c>
      <c r="E109" s="74" t="s">
        <v>35</v>
      </c>
      <c r="F109" s="74" t="s">
        <v>35</v>
      </c>
      <c r="G109" s="74" t="s">
        <v>35</v>
      </c>
      <c r="H109" s="74" t="s">
        <v>35</v>
      </c>
      <c r="I109" s="74" t="s">
        <v>35</v>
      </c>
      <c r="J109" s="74" t="s">
        <v>35</v>
      </c>
      <c r="K109" s="74" t="s">
        <v>35</v>
      </c>
      <c r="L109" s="74" t="s">
        <v>35</v>
      </c>
      <c r="M109" s="74">
        <v>1998</v>
      </c>
    </row>
    <row r="110" spans="1:13" ht="17">
      <c r="A110" s="73" t="s">
        <v>300</v>
      </c>
      <c r="B110" s="74" t="s">
        <v>35</v>
      </c>
      <c r="C110" s="74">
        <v>6308</v>
      </c>
      <c r="D110" s="74">
        <v>8499</v>
      </c>
      <c r="E110" s="74">
        <v>8105</v>
      </c>
      <c r="F110" s="74">
        <v>11977</v>
      </c>
      <c r="G110" s="74">
        <v>11964</v>
      </c>
      <c r="H110" s="74">
        <v>5980</v>
      </c>
      <c r="I110" s="74">
        <v>4996</v>
      </c>
      <c r="J110" s="74">
        <v>6000</v>
      </c>
      <c r="K110" s="74">
        <v>9982</v>
      </c>
      <c r="L110" s="74">
        <v>5985</v>
      </c>
      <c r="M110" s="74" t="s">
        <v>35</v>
      </c>
    </row>
    <row r="111" spans="1:13" ht="17">
      <c r="A111" s="96" t="s">
        <v>301</v>
      </c>
      <c r="B111" s="97" t="s">
        <v>35</v>
      </c>
      <c r="C111" s="97">
        <v>0</v>
      </c>
      <c r="D111" s="97">
        <v>2513</v>
      </c>
      <c r="E111" s="97">
        <v>3500</v>
      </c>
      <c r="F111" s="97">
        <v>6496</v>
      </c>
      <c r="G111" s="97">
        <v>8784</v>
      </c>
      <c r="H111" s="97">
        <v>10260</v>
      </c>
      <c r="I111" s="97">
        <v>8773</v>
      </c>
      <c r="J111" s="97">
        <v>9613</v>
      </c>
      <c r="K111" s="97">
        <v>11128</v>
      </c>
      <c r="L111" s="97">
        <v>9822</v>
      </c>
      <c r="M111" s="97">
        <v>10954</v>
      </c>
    </row>
    <row r="112" spans="1:13" ht="17">
      <c r="A112" s="73" t="s">
        <v>302</v>
      </c>
      <c r="B112" s="74" t="s">
        <v>35</v>
      </c>
      <c r="C112" s="74" t="s">
        <v>35</v>
      </c>
      <c r="D112" s="74">
        <v>2500</v>
      </c>
      <c r="E112" s="74">
        <v>3500</v>
      </c>
      <c r="F112" s="74" t="s">
        <v>35</v>
      </c>
      <c r="G112" s="74" t="s">
        <v>35</v>
      </c>
      <c r="H112" s="74" t="s">
        <v>35</v>
      </c>
      <c r="I112" s="74" t="s">
        <v>35</v>
      </c>
      <c r="J112" s="74" t="s">
        <v>35</v>
      </c>
      <c r="K112" s="74" t="s">
        <v>35</v>
      </c>
      <c r="L112" s="74" t="s">
        <v>35</v>
      </c>
      <c r="M112" s="74" t="s">
        <v>35</v>
      </c>
    </row>
    <row r="113" spans="1:13" ht="17">
      <c r="A113" s="73" t="s">
        <v>303</v>
      </c>
      <c r="B113" s="74" t="s">
        <v>35</v>
      </c>
      <c r="C113" s="74" t="s">
        <v>35</v>
      </c>
      <c r="D113" s="74" t="s">
        <v>35</v>
      </c>
      <c r="E113" s="74" t="s">
        <v>35</v>
      </c>
      <c r="F113" s="74">
        <v>6496</v>
      </c>
      <c r="G113" s="74">
        <v>8784</v>
      </c>
      <c r="H113" s="74">
        <v>10260</v>
      </c>
      <c r="I113" s="74">
        <v>8773</v>
      </c>
      <c r="J113" s="74">
        <v>9613</v>
      </c>
      <c r="K113" s="74">
        <v>11128</v>
      </c>
      <c r="L113" s="74">
        <v>9822</v>
      </c>
      <c r="M113" s="74" t="s">
        <v>35</v>
      </c>
    </row>
    <row r="114" spans="1:13" ht="17">
      <c r="A114" s="73" t="s">
        <v>304</v>
      </c>
      <c r="B114" s="74" t="s">
        <v>35</v>
      </c>
      <c r="C114" s="74" t="s">
        <v>35</v>
      </c>
      <c r="D114" s="74" t="s">
        <v>35</v>
      </c>
      <c r="E114" s="74" t="s">
        <v>35</v>
      </c>
      <c r="F114" s="74" t="s">
        <v>35</v>
      </c>
      <c r="G114" s="74" t="s">
        <v>35</v>
      </c>
      <c r="H114" s="74" t="s">
        <v>35</v>
      </c>
      <c r="I114" s="74" t="s">
        <v>35</v>
      </c>
      <c r="J114" s="74" t="s">
        <v>35</v>
      </c>
      <c r="K114" s="74" t="s">
        <v>35</v>
      </c>
      <c r="L114" s="74" t="s">
        <v>35</v>
      </c>
      <c r="M114" s="74">
        <v>10954</v>
      </c>
    </row>
    <row r="115" spans="1:13" ht="17">
      <c r="A115" s="73" t="s">
        <v>305</v>
      </c>
      <c r="B115" s="74" t="s">
        <v>35</v>
      </c>
      <c r="C115" s="74" t="s">
        <v>35</v>
      </c>
      <c r="D115" s="74">
        <v>13</v>
      </c>
      <c r="E115" s="74" t="s">
        <v>35</v>
      </c>
      <c r="F115" s="74" t="s">
        <v>35</v>
      </c>
      <c r="G115" s="74" t="s">
        <v>35</v>
      </c>
      <c r="H115" s="74" t="s">
        <v>35</v>
      </c>
      <c r="I115" s="74" t="s">
        <v>35</v>
      </c>
      <c r="J115" s="74" t="s">
        <v>35</v>
      </c>
      <c r="K115" s="74" t="s">
        <v>35</v>
      </c>
      <c r="L115" s="74" t="s">
        <v>35</v>
      </c>
      <c r="M115" s="74" t="s">
        <v>35</v>
      </c>
    </row>
    <row r="116" spans="1:13">
      <c r="A116" s="96" t="s">
        <v>306</v>
      </c>
      <c r="B116" s="97">
        <v>0</v>
      </c>
      <c r="C116" s="97">
        <v>0</v>
      </c>
      <c r="D116" s="97">
        <v>0</v>
      </c>
      <c r="E116" s="97">
        <v>0</v>
      </c>
      <c r="F116" s="97">
        <v>0</v>
      </c>
      <c r="G116" s="97">
        <v>0</v>
      </c>
      <c r="H116" s="97">
        <v>0</v>
      </c>
      <c r="I116" s="97">
        <v>1460</v>
      </c>
      <c r="J116" s="97">
        <v>1528</v>
      </c>
      <c r="K116" s="97">
        <v>1663</v>
      </c>
      <c r="L116" s="97">
        <v>1575</v>
      </c>
      <c r="M116" s="97">
        <v>0</v>
      </c>
    </row>
    <row r="117" spans="1:13" ht="17">
      <c r="A117" s="73" t="s">
        <v>307</v>
      </c>
      <c r="B117" s="74" t="s">
        <v>35</v>
      </c>
      <c r="C117" s="74" t="s">
        <v>35</v>
      </c>
      <c r="D117" s="74" t="s">
        <v>35</v>
      </c>
      <c r="E117" s="74" t="s">
        <v>35</v>
      </c>
      <c r="F117" s="74" t="s">
        <v>35</v>
      </c>
      <c r="G117" s="74" t="s">
        <v>35</v>
      </c>
      <c r="H117" s="74" t="s">
        <v>35</v>
      </c>
      <c r="I117" s="74">
        <v>1436</v>
      </c>
      <c r="J117" s="74">
        <v>1449</v>
      </c>
      <c r="K117" s="74">
        <v>1534</v>
      </c>
      <c r="L117" s="74">
        <v>1410</v>
      </c>
      <c r="M117" s="74" t="s">
        <v>35</v>
      </c>
    </row>
    <row r="118" spans="1:13" ht="17">
      <c r="A118" s="73" t="s">
        <v>308</v>
      </c>
      <c r="B118" s="74" t="s">
        <v>35</v>
      </c>
      <c r="C118" s="74" t="s">
        <v>35</v>
      </c>
      <c r="D118" s="74" t="s">
        <v>35</v>
      </c>
      <c r="E118" s="74" t="s">
        <v>35</v>
      </c>
      <c r="F118" s="74" t="s">
        <v>35</v>
      </c>
      <c r="G118" s="74" t="s">
        <v>35</v>
      </c>
      <c r="H118" s="74" t="s">
        <v>35</v>
      </c>
      <c r="I118" s="74">
        <v>24</v>
      </c>
      <c r="J118" s="74">
        <v>79</v>
      </c>
      <c r="K118" s="74">
        <v>129</v>
      </c>
      <c r="L118" s="74">
        <v>165</v>
      </c>
      <c r="M118" s="74" t="s">
        <v>35</v>
      </c>
    </row>
    <row r="119" spans="1:13" ht="17">
      <c r="A119" s="62" t="s">
        <v>309</v>
      </c>
      <c r="B119" s="72">
        <v>1200</v>
      </c>
      <c r="C119" s="72" t="s">
        <v>35</v>
      </c>
      <c r="D119" s="72" t="s">
        <v>35</v>
      </c>
      <c r="E119" s="72" t="s">
        <v>35</v>
      </c>
      <c r="F119" s="72" t="s">
        <v>35</v>
      </c>
      <c r="G119" s="72" t="s">
        <v>35</v>
      </c>
      <c r="H119" s="72" t="s">
        <v>35</v>
      </c>
      <c r="I119" s="72" t="s">
        <v>35</v>
      </c>
      <c r="J119" s="72" t="s">
        <v>35</v>
      </c>
      <c r="K119" s="72" t="s">
        <v>35</v>
      </c>
      <c r="L119" s="72" t="s">
        <v>35</v>
      </c>
      <c r="M119" s="72" t="s">
        <v>35</v>
      </c>
    </row>
    <row r="120" spans="1:13" ht="17">
      <c r="A120" s="73" t="s">
        <v>310</v>
      </c>
      <c r="B120" s="74">
        <v>1200</v>
      </c>
      <c r="C120" s="74" t="s">
        <v>35</v>
      </c>
      <c r="D120" s="74" t="s">
        <v>35</v>
      </c>
      <c r="E120" s="74" t="s">
        <v>35</v>
      </c>
      <c r="F120" s="74" t="s">
        <v>35</v>
      </c>
      <c r="G120" s="74" t="s">
        <v>35</v>
      </c>
      <c r="H120" s="74" t="s">
        <v>35</v>
      </c>
      <c r="I120" s="74" t="s">
        <v>35</v>
      </c>
      <c r="J120" s="74" t="s">
        <v>35</v>
      </c>
      <c r="K120" s="74" t="s">
        <v>35</v>
      </c>
      <c r="L120" s="74" t="s">
        <v>35</v>
      </c>
      <c r="M120" s="74" t="s">
        <v>35</v>
      </c>
    </row>
    <row r="121" spans="1:13">
      <c r="A121" s="62" t="s">
        <v>311</v>
      </c>
      <c r="B121" s="72">
        <v>8697</v>
      </c>
      <c r="C121" s="72">
        <v>8491</v>
      </c>
      <c r="D121" s="72">
        <v>8940</v>
      </c>
      <c r="E121" s="72">
        <v>8080</v>
      </c>
      <c r="F121" s="72">
        <v>7548</v>
      </c>
      <c r="G121" s="72">
        <v>5966</v>
      </c>
      <c r="H121" s="72">
        <v>5522</v>
      </c>
      <c r="I121" s="72">
        <v>6643</v>
      </c>
      <c r="J121" s="72">
        <v>7612</v>
      </c>
      <c r="K121" s="72">
        <v>7912</v>
      </c>
      <c r="L121" s="72">
        <v>8061</v>
      </c>
      <c r="M121" s="72">
        <v>8264</v>
      </c>
    </row>
    <row r="122" spans="1:13" ht="17">
      <c r="A122" s="73" t="s">
        <v>312</v>
      </c>
      <c r="B122" s="74">
        <v>7435</v>
      </c>
      <c r="C122" s="74">
        <v>8491</v>
      </c>
      <c r="D122" s="74">
        <v>8940</v>
      </c>
      <c r="E122" s="74">
        <v>8080</v>
      </c>
      <c r="F122" s="74">
        <v>7548</v>
      </c>
      <c r="G122" s="74">
        <v>5966</v>
      </c>
      <c r="H122" s="74">
        <v>5522</v>
      </c>
      <c r="I122" s="74">
        <v>6643</v>
      </c>
      <c r="J122" s="74">
        <v>7612</v>
      </c>
      <c r="K122" s="74">
        <v>7912</v>
      </c>
      <c r="L122" s="74">
        <v>8061</v>
      </c>
      <c r="M122" s="74" t="s">
        <v>35</v>
      </c>
    </row>
    <row r="123" spans="1:13" ht="17">
      <c r="A123" s="73" t="s">
        <v>313</v>
      </c>
      <c r="B123" s="74" t="s">
        <v>35</v>
      </c>
      <c r="C123" s="74" t="s">
        <v>35</v>
      </c>
      <c r="D123" s="74" t="s">
        <v>35</v>
      </c>
      <c r="E123" s="74" t="s">
        <v>35</v>
      </c>
      <c r="F123" s="74" t="s">
        <v>35</v>
      </c>
      <c r="G123" s="74" t="s">
        <v>35</v>
      </c>
      <c r="H123" s="74" t="s">
        <v>35</v>
      </c>
      <c r="I123" s="74" t="s">
        <v>35</v>
      </c>
      <c r="J123" s="74" t="s">
        <v>35</v>
      </c>
      <c r="K123" s="74" t="s">
        <v>35</v>
      </c>
      <c r="L123" s="74" t="s">
        <v>35</v>
      </c>
      <c r="M123" s="74">
        <v>8264</v>
      </c>
    </row>
    <row r="124" spans="1:13" ht="17">
      <c r="A124" s="73" t="s">
        <v>313</v>
      </c>
      <c r="B124" s="74">
        <v>1262</v>
      </c>
      <c r="C124" s="74" t="s">
        <v>35</v>
      </c>
      <c r="D124" s="74" t="s">
        <v>35</v>
      </c>
      <c r="E124" s="74" t="s">
        <v>35</v>
      </c>
      <c r="F124" s="74" t="s">
        <v>35</v>
      </c>
      <c r="G124" s="74" t="s">
        <v>35</v>
      </c>
      <c r="H124" s="74" t="s">
        <v>35</v>
      </c>
      <c r="I124" s="74" t="s">
        <v>35</v>
      </c>
      <c r="J124" s="74" t="s">
        <v>35</v>
      </c>
      <c r="K124" s="74" t="s">
        <v>35</v>
      </c>
      <c r="L124" s="74" t="s">
        <v>35</v>
      </c>
      <c r="M124" s="74" t="s">
        <v>35</v>
      </c>
    </row>
    <row r="125" spans="1:13">
      <c r="A125" s="62" t="s">
        <v>314</v>
      </c>
      <c r="B125" s="72">
        <v>2967</v>
      </c>
      <c r="C125" s="72">
        <v>81</v>
      </c>
      <c r="D125" s="72">
        <v>1999</v>
      </c>
      <c r="E125" s="72">
        <v>163</v>
      </c>
      <c r="F125" s="72">
        <v>30551</v>
      </c>
      <c r="G125" s="72">
        <v>33327</v>
      </c>
      <c r="H125" s="72">
        <v>37720</v>
      </c>
      <c r="I125" s="72">
        <v>41224</v>
      </c>
      <c r="J125" s="72">
        <v>45965</v>
      </c>
      <c r="K125" s="72">
        <v>59182</v>
      </c>
      <c r="L125" s="72">
        <v>57254</v>
      </c>
      <c r="M125" s="72">
        <v>54611</v>
      </c>
    </row>
    <row r="126" spans="1:13" ht="17">
      <c r="A126" s="73" t="s">
        <v>315</v>
      </c>
      <c r="B126" s="74" t="s">
        <v>35</v>
      </c>
      <c r="C126" s="74" t="s">
        <v>35</v>
      </c>
      <c r="D126" s="74" t="s">
        <v>35</v>
      </c>
      <c r="E126" s="74" t="s">
        <v>35</v>
      </c>
      <c r="F126" s="74">
        <v>30551</v>
      </c>
      <c r="G126" s="74">
        <v>33327</v>
      </c>
      <c r="H126" s="74">
        <v>37720</v>
      </c>
      <c r="I126" s="74" t="s">
        <v>35</v>
      </c>
      <c r="J126" s="74" t="s">
        <v>35</v>
      </c>
      <c r="K126" s="74" t="s">
        <v>35</v>
      </c>
      <c r="L126" s="74" t="s">
        <v>35</v>
      </c>
      <c r="M126" s="74" t="s">
        <v>35</v>
      </c>
    </row>
    <row r="127" spans="1:13" ht="17">
      <c r="A127" s="73" t="s">
        <v>316</v>
      </c>
      <c r="B127" s="74" t="s">
        <v>35</v>
      </c>
      <c r="C127" s="74" t="s">
        <v>35</v>
      </c>
      <c r="D127" s="74" t="s">
        <v>35</v>
      </c>
      <c r="E127" s="74" t="s">
        <v>35</v>
      </c>
      <c r="F127" s="74" t="s">
        <v>35</v>
      </c>
      <c r="G127" s="74" t="s">
        <v>35</v>
      </c>
      <c r="H127" s="74" t="s">
        <v>35</v>
      </c>
      <c r="I127" s="74">
        <v>42684</v>
      </c>
      <c r="J127" s="74">
        <v>47493</v>
      </c>
      <c r="K127" s="74">
        <v>60845</v>
      </c>
      <c r="L127" s="74">
        <v>58829</v>
      </c>
      <c r="M127" s="74">
        <v>54611</v>
      </c>
    </row>
    <row r="128" spans="1:13" ht="17">
      <c r="A128" s="73" t="s">
        <v>317</v>
      </c>
      <c r="B128" s="74" t="s">
        <v>35</v>
      </c>
      <c r="C128" s="74" t="s">
        <v>35</v>
      </c>
      <c r="D128" s="74" t="s">
        <v>35</v>
      </c>
      <c r="E128" s="74">
        <v>163</v>
      </c>
      <c r="F128" s="74" t="s">
        <v>35</v>
      </c>
      <c r="G128" s="74" t="s">
        <v>35</v>
      </c>
      <c r="H128" s="74" t="s">
        <v>35</v>
      </c>
      <c r="I128" s="74">
        <v>1436</v>
      </c>
      <c r="J128" s="74">
        <v>1449</v>
      </c>
      <c r="K128" s="74">
        <v>1534</v>
      </c>
      <c r="L128" s="74">
        <v>1410</v>
      </c>
      <c r="M128" s="74" t="s">
        <v>35</v>
      </c>
    </row>
    <row r="129" spans="1:13" ht="17">
      <c r="A129" s="73" t="s">
        <v>318</v>
      </c>
      <c r="B129" s="74" t="s">
        <v>35</v>
      </c>
      <c r="C129" s="74" t="s">
        <v>35</v>
      </c>
      <c r="D129" s="74" t="s">
        <v>35</v>
      </c>
      <c r="E129" s="74" t="s">
        <v>35</v>
      </c>
      <c r="F129" s="74" t="s">
        <v>35</v>
      </c>
      <c r="G129" s="74" t="s">
        <v>35</v>
      </c>
      <c r="H129" s="74" t="s">
        <v>35</v>
      </c>
      <c r="I129" s="74">
        <v>24</v>
      </c>
      <c r="J129" s="74">
        <v>79</v>
      </c>
      <c r="K129" s="74">
        <v>129</v>
      </c>
      <c r="L129" s="74">
        <v>165</v>
      </c>
      <c r="M129" s="74" t="s">
        <v>35</v>
      </c>
    </row>
    <row r="130" spans="1:13" ht="17">
      <c r="A130" s="73" t="s">
        <v>316</v>
      </c>
      <c r="B130" s="74" t="s">
        <v>35</v>
      </c>
      <c r="C130" s="74" t="s">
        <v>35</v>
      </c>
      <c r="D130" s="74">
        <v>1000</v>
      </c>
      <c r="E130" s="74" t="s">
        <v>35</v>
      </c>
      <c r="F130" s="74" t="s">
        <v>35</v>
      </c>
      <c r="G130" s="74" t="s">
        <v>35</v>
      </c>
      <c r="H130" s="74" t="s">
        <v>35</v>
      </c>
      <c r="I130" s="74" t="s">
        <v>35</v>
      </c>
      <c r="J130" s="74" t="s">
        <v>35</v>
      </c>
      <c r="K130" s="74" t="s">
        <v>35</v>
      </c>
      <c r="L130" s="74" t="s">
        <v>35</v>
      </c>
      <c r="M130" s="74" t="s">
        <v>35</v>
      </c>
    </row>
    <row r="131" spans="1:13" ht="17">
      <c r="A131" s="73" t="s">
        <v>319</v>
      </c>
      <c r="B131" s="74">
        <v>2967</v>
      </c>
      <c r="C131" s="74" t="s">
        <v>35</v>
      </c>
      <c r="D131" s="74" t="s">
        <v>35</v>
      </c>
      <c r="E131" s="74" t="s">
        <v>35</v>
      </c>
      <c r="F131" s="74" t="s">
        <v>35</v>
      </c>
      <c r="G131" s="74" t="s">
        <v>35</v>
      </c>
      <c r="H131" s="74" t="s">
        <v>35</v>
      </c>
      <c r="I131" s="74" t="s">
        <v>35</v>
      </c>
      <c r="J131" s="74" t="s">
        <v>35</v>
      </c>
      <c r="K131" s="74" t="s">
        <v>35</v>
      </c>
      <c r="L131" s="74" t="s">
        <v>35</v>
      </c>
      <c r="M131" s="74" t="s">
        <v>35</v>
      </c>
    </row>
    <row r="132" spans="1:13" ht="17">
      <c r="A132" s="73" t="s">
        <v>320</v>
      </c>
      <c r="B132" s="74" t="s">
        <v>35</v>
      </c>
      <c r="C132" s="74">
        <v>81</v>
      </c>
      <c r="D132" s="74">
        <v>999</v>
      </c>
      <c r="E132" s="74" t="s">
        <v>35</v>
      </c>
      <c r="F132" s="74" t="s">
        <v>35</v>
      </c>
      <c r="G132" s="74" t="s">
        <v>35</v>
      </c>
      <c r="H132" s="74" t="s">
        <v>35</v>
      </c>
      <c r="I132" s="74" t="s">
        <v>35</v>
      </c>
      <c r="J132" s="74" t="s">
        <v>35</v>
      </c>
      <c r="K132" s="74" t="s">
        <v>35</v>
      </c>
      <c r="L132" s="74" t="s">
        <v>35</v>
      </c>
      <c r="M132" s="74" t="s">
        <v>35</v>
      </c>
    </row>
    <row r="133" spans="1:13">
      <c r="A133" s="71" t="s">
        <v>321</v>
      </c>
      <c r="B133" s="75">
        <v>43658</v>
      </c>
      <c r="C133" s="75">
        <v>63448</v>
      </c>
      <c r="D133" s="75">
        <v>80610</v>
      </c>
      <c r="E133" s="75">
        <v>79006</v>
      </c>
      <c r="F133" s="75">
        <v>100814</v>
      </c>
      <c r="G133" s="75">
        <v>115929</v>
      </c>
      <c r="H133" s="75">
        <v>105718</v>
      </c>
      <c r="I133" s="75">
        <v>105392</v>
      </c>
      <c r="J133" s="75">
        <v>125481</v>
      </c>
      <c r="K133" s="75">
        <v>153982</v>
      </c>
      <c r="L133" s="75">
        <v>145308</v>
      </c>
      <c r="M133" s="75">
        <v>133973</v>
      </c>
    </row>
    <row r="134" spans="1:13">
      <c r="A134" s="71"/>
      <c r="B134" s="76"/>
      <c r="C134" s="76"/>
      <c r="D134" s="76"/>
      <c r="E134" s="76"/>
      <c r="F134" s="76"/>
      <c r="G134" s="76"/>
      <c r="H134" s="76"/>
      <c r="I134" s="76"/>
      <c r="J134" s="76"/>
      <c r="K134" s="76"/>
      <c r="L134" s="76"/>
      <c r="M134" s="76"/>
    </row>
    <row r="135" spans="1:13">
      <c r="A135" s="116" t="s">
        <v>649</v>
      </c>
      <c r="B135" s="118"/>
      <c r="C135" s="118">
        <f t="shared" ref="C135:K135" si="0">(C53-C26)-(C133-C116-C111)</f>
        <v>-20075</v>
      </c>
      <c r="D135" s="118">
        <f t="shared" si="0"/>
        <v>-30714</v>
      </c>
      <c r="E135" s="118">
        <f t="shared" si="0"/>
        <v>-35792</v>
      </c>
      <c r="F135" s="118">
        <f t="shared" si="0"/>
        <v>-39854</v>
      </c>
      <c r="G135" s="118">
        <f t="shared" si="0"/>
        <v>-42107</v>
      </c>
      <c r="H135" s="118">
        <f t="shared" si="0"/>
        <v>-33196</v>
      </c>
      <c r="I135" s="118">
        <f t="shared" si="0"/>
        <v>-42389</v>
      </c>
      <c r="J135" s="118">
        <f t="shared" si="0"/>
        <v>-42143</v>
      </c>
      <c r="K135" s="118">
        <f t="shared" si="0"/>
        <v>-54090</v>
      </c>
      <c r="L135" s="118">
        <f>(L53-L26)-(L133-L116-L111)</f>
        <v>-51900</v>
      </c>
      <c r="M135" s="72"/>
    </row>
    <row r="136" spans="1:13">
      <c r="A136" s="62"/>
      <c r="B136" s="62"/>
      <c r="C136" s="62"/>
      <c r="D136" s="62"/>
      <c r="E136" s="62"/>
      <c r="F136" s="62"/>
      <c r="G136" s="62"/>
      <c r="H136" s="62"/>
      <c r="I136" s="62"/>
      <c r="J136" s="62"/>
      <c r="K136" s="62"/>
      <c r="L136" s="62"/>
      <c r="M136" s="62"/>
    </row>
    <row r="137" spans="1:13">
      <c r="A137" s="96" t="s">
        <v>322</v>
      </c>
      <c r="B137" s="97">
        <v>16960</v>
      </c>
      <c r="C137" s="97">
        <v>28987</v>
      </c>
      <c r="D137" s="97">
        <v>53329</v>
      </c>
      <c r="E137" s="97">
        <v>75427</v>
      </c>
      <c r="F137" s="97">
        <v>97207</v>
      </c>
      <c r="G137" s="97">
        <v>93735</v>
      </c>
      <c r="H137" s="97">
        <v>91807</v>
      </c>
      <c r="I137" s="97">
        <v>98667</v>
      </c>
      <c r="J137" s="97">
        <v>109106</v>
      </c>
      <c r="K137" s="97">
        <v>98959</v>
      </c>
      <c r="L137" s="97">
        <v>95281</v>
      </c>
      <c r="M137" s="97">
        <v>95088</v>
      </c>
    </row>
    <row r="138" spans="1:13" ht="17">
      <c r="A138" s="73" t="s">
        <v>323</v>
      </c>
      <c r="B138" s="74">
        <v>16960</v>
      </c>
      <c r="C138" s="74">
        <v>28987</v>
      </c>
      <c r="D138" s="74">
        <v>53329</v>
      </c>
      <c r="E138" s="74">
        <v>75427</v>
      </c>
      <c r="F138" s="74" t="s">
        <v>35</v>
      </c>
      <c r="G138" s="74" t="s">
        <v>35</v>
      </c>
      <c r="H138" s="74" t="s">
        <v>35</v>
      </c>
      <c r="I138" s="74" t="s">
        <v>35</v>
      </c>
      <c r="J138" s="74" t="s">
        <v>35</v>
      </c>
      <c r="K138" s="74" t="s">
        <v>35</v>
      </c>
      <c r="L138" s="74" t="s">
        <v>35</v>
      </c>
      <c r="M138" s="74" t="s">
        <v>35</v>
      </c>
    </row>
    <row r="139" spans="1:13" ht="17">
      <c r="A139" s="73" t="s">
        <v>303</v>
      </c>
      <c r="B139" s="74" t="s">
        <v>35</v>
      </c>
      <c r="C139" s="74" t="s">
        <v>35</v>
      </c>
      <c r="D139" s="74" t="s">
        <v>35</v>
      </c>
      <c r="E139" s="74" t="s">
        <v>35</v>
      </c>
      <c r="F139" s="74">
        <v>97207</v>
      </c>
      <c r="G139" s="74">
        <v>93735</v>
      </c>
      <c r="H139" s="74">
        <v>91807</v>
      </c>
      <c r="I139" s="74">
        <v>98667</v>
      </c>
      <c r="J139" s="74">
        <v>109106</v>
      </c>
      <c r="K139" s="74">
        <v>98959</v>
      </c>
      <c r="L139" s="74">
        <v>95281</v>
      </c>
      <c r="M139" s="74" t="s">
        <v>35</v>
      </c>
    </row>
    <row r="140" spans="1:13" ht="17">
      <c r="A140" s="73" t="s">
        <v>324</v>
      </c>
      <c r="B140" s="74" t="s">
        <v>35</v>
      </c>
      <c r="C140" s="74" t="s">
        <v>35</v>
      </c>
      <c r="D140" s="74" t="s">
        <v>35</v>
      </c>
      <c r="E140" s="74" t="s">
        <v>35</v>
      </c>
      <c r="F140" s="74" t="s">
        <v>35</v>
      </c>
      <c r="G140" s="74" t="s">
        <v>35</v>
      </c>
      <c r="H140" s="74" t="s">
        <v>35</v>
      </c>
      <c r="I140" s="74" t="s">
        <v>35</v>
      </c>
      <c r="J140" s="74" t="s">
        <v>35</v>
      </c>
      <c r="K140" s="74" t="s">
        <v>35</v>
      </c>
      <c r="L140" s="74" t="s">
        <v>35</v>
      </c>
      <c r="M140" s="74">
        <v>95088</v>
      </c>
    </row>
    <row r="141" spans="1:13" ht="17">
      <c r="A141" s="96" t="s">
        <v>325</v>
      </c>
      <c r="B141" s="97" t="s">
        <v>35</v>
      </c>
      <c r="C141" s="97" t="s">
        <v>35</v>
      </c>
      <c r="D141" s="97" t="s">
        <v>35</v>
      </c>
      <c r="E141" s="97" t="s">
        <v>35</v>
      </c>
      <c r="F141" s="97" t="s">
        <v>35</v>
      </c>
      <c r="G141" s="97" t="s">
        <v>35</v>
      </c>
      <c r="H141" s="97" t="s">
        <v>35</v>
      </c>
      <c r="I141" s="97">
        <v>8382</v>
      </c>
      <c r="J141" s="97">
        <v>10275</v>
      </c>
      <c r="K141" s="97">
        <v>10748</v>
      </c>
      <c r="L141" s="97">
        <v>11267</v>
      </c>
      <c r="M141" s="97">
        <v>0</v>
      </c>
    </row>
    <row r="142" spans="1:13" ht="17">
      <c r="A142" s="73" t="s">
        <v>326</v>
      </c>
      <c r="B142" s="74" t="s">
        <v>35</v>
      </c>
      <c r="C142" s="74" t="s">
        <v>35</v>
      </c>
      <c r="D142" s="74" t="s">
        <v>35</v>
      </c>
      <c r="E142" s="74" t="s">
        <v>35</v>
      </c>
      <c r="F142" s="74" t="s">
        <v>35</v>
      </c>
      <c r="G142" s="74" t="s">
        <v>35</v>
      </c>
      <c r="H142" s="74" t="s">
        <v>35</v>
      </c>
      <c r="I142" s="74">
        <v>7745</v>
      </c>
      <c r="J142" s="74">
        <v>9506</v>
      </c>
      <c r="K142" s="74">
        <v>9936</v>
      </c>
      <c r="L142" s="74">
        <v>10408</v>
      </c>
      <c r="M142" s="74" t="s">
        <v>35</v>
      </c>
    </row>
    <row r="143" spans="1:13" ht="17">
      <c r="A143" s="73" t="s">
        <v>327</v>
      </c>
      <c r="B143" s="74" t="s">
        <v>35</v>
      </c>
      <c r="C143" s="74" t="s">
        <v>35</v>
      </c>
      <c r="D143" s="74" t="s">
        <v>35</v>
      </c>
      <c r="E143" s="74" t="s">
        <v>35</v>
      </c>
      <c r="F143" s="74" t="s">
        <v>35</v>
      </c>
      <c r="G143" s="74" t="s">
        <v>35</v>
      </c>
      <c r="H143" s="74" t="s">
        <v>35</v>
      </c>
      <c r="I143" s="74">
        <v>637</v>
      </c>
      <c r="J143" s="74">
        <v>769</v>
      </c>
      <c r="K143" s="74">
        <v>812</v>
      </c>
      <c r="L143" s="74">
        <v>859</v>
      </c>
      <c r="M143" s="74" t="s">
        <v>35</v>
      </c>
    </row>
    <row r="144" spans="1:13" ht="17">
      <c r="A144" s="62" t="s">
        <v>328</v>
      </c>
      <c r="B144" s="72">
        <v>2625</v>
      </c>
      <c r="C144" s="72">
        <v>3031</v>
      </c>
      <c r="D144" s="72">
        <v>3624</v>
      </c>
      <c r="E144" s="72">
        <v>2930</v>
      </c>
      <c r="F144" s="72">
        <v>2836</v>
      </c>
      <c r="G144" s="72" t="s">
        <v>35</v>
      </c>
      <c r="H144" s="72" t="s">
        <v>35</v>
      </c>
      <c r="I144" s="72" t="s">
        <v>35</v>
      </c>
      <c r="J144" s="72" t="s">
        <v>35</v>
      </c>
      <c r="K144" s="72" t="s">
        <v>35</v>
      </c>
      <c r="L144" s="72" t="s">
        <v>35</v>
      </c>
      <c r="M144" s="72" t="s">
        <v>35</v>
      </c>
    </row>
    <row r="145" spans="1:13" ht="17">
      <c r="A145" s="73" t="s">
        <v>329</v>
      </c>
      <c r="B145" s="74">
        <v>2625</v>
      </c>
      <c r="C145" s="74">
        <v>3031</v>
      </c>
      <c r="D145" s="74">
        <v>3624</v>
      </c>
      <c r="E145" s="74">
        <v>2930</v>
      </c>
      <c r="F145" s="74">
        <v>2836</v>
      </c>
      <c r="G145" s="74" t="s">
        <v>35</v>
      </c>
      <c r="H145" s="74" t="s">
        <v>35</v>
      </c>
      <c r="I145" s="74" t="s">
        <v>35</v>
      </c>
      <c r="J145" s="74" t="s">
        <v>35</v>
      </c>
      <c r="K145" s="74" t="s">
        <v>35</v>
      </c>
      <c r="L145" s="74" t="s">
        <v>35</v>
      </c>
      <c r="M145" s="74" t="s">
        <v>35</v>
      </c>
    </row>
    <row r="146" spans="1:13" ht="17">
      <c r="A146" s="62" t="s">
        <v>330</v>
      </c>
      <c r="B146" s="72">
        <v>16489</v>
      </c>
      <c r="C146" s="72">
        <v>20259</v>
      </c>
      <c r="D146" s="72">
        <v>24062</v>
      </c>
      <c r="E146" s="72">
        <v>26019</v>
      </c>
      <c r="F146" s="72">
        <v>31504</v>
      </c>
      <c r="G146" s="72" t="s">
        <v>35</v>
      </c>
      <c r="H146" s="72" t="s">
        <v>35</v>
      </c>
      <c r="I146" s="72" t="s">
        <v>35</v>
      </c>
      <c r="J146" s="72" t="s">
        <v>35</v>
      </c>
      <c r="K146" s="72" t="s">
        <v>35</v>
      </c>
      <c r="L146" s="72" t="s">
        <v>35</v>
      </c>
      <c r="M146" s="72" t="s">
        <v>35</v>
      </c>
    </row>
    <row r="147" spans="1:13" ht="17">
      <c r="A147" s="73" t="s">
        <v>331</v>
      </c>
      <c r="B147" s="74">
        <v>16489</v>
      </c>
      <c r="C147" s="74">
        <v>20259</v>
      </c>
      <c r="D147" s="74">
        <v>24062</v>
      </c>
      <c r="E147" s="74">
        <v>26019</v>
      </c>
      <c r="F147" s="74" t="s">
        <v>35</v>
      </c>
      <c r="G147" s="74" t="s">
        <v>35</v>
      </c>
      <c r="H147" s="74" t="s">
        <v>35</v>
      </c>
      <c r="I147" s="74" t="s">
        <v>35</v>
      </c>
      <c r="J147" s="74" t="s">
        <v>35</v>
      </c>
      <c r="K147" s="74" t="s">
        <v>35</v>
      </c>
      <c r="L147" s="74" t="s">
        <v>35</v>
      </c>
      <c r="M147" s="74" t="s">
        <v>35</v>
      </c>
    </row>
    <row r="148" spans="1:13" ht="17">
      <c r="A148" s="73" t="s">
        <v>332</v>
      </c>
      <c r="B148" s="74" t="s">
        <v>35</v>
      </c>
      <c r="C148" s="74" t="s">
        <v>35</v>
      </c>
      <c r="D148" s="74" t="s">
        <v>35</v>
      </c>
      <c r="E148" s="74" t="s">
        <v>35</v>
      </c>
      <c r="F148" s="74">
        <v>31504</v>
      </c>
      <c r="G148" s="74" t="s">
        <v>35</v>
      </c>
      <c r="H148" s="74" t="s">
        <v>35</v>
      </c>
      <c r="I148" s="74" t="s">
        <v>35</v>
      </c>
      <c r="J148" s="74" t="s">
        <v>35</v>
      </c>
      <c r="K148" s="74" t="s">
        <v>35</v>
      </c>
      <c r="L148" s="74" t="s">
        <v>35</v>
      </c>
      <c r="M148" s="74" t="s">
        <v>35</v>
      </c>
    </row>
    <row r="149" spans="1:13">
      <c r="A149" s="62" t="s">
        <v>333</v>
      </c>
      <c r="B149" s="72">
        <v>3719</v>
      </c>
      <c r="C149" s="72">
        <v>4567</v>
      </c>
      <c r="D149" s="72">
        <v>9365</v>
      </c>
      <c r="E149" s="72">
        <v>10055</v>
      </c>
      <c r="F149" s="72">
        <v>8911</v>
      </c>
      <c r="G149" s="72">
        <v>48914</v>
      </c>
      <c r="H149" s="72">
        <v>50503</v>
      </c>
      <c r="I149" s="72">
        <v>46108</v>
      </c>
      <c r="J149" s="72">
        <v>43050</v>
      </c>
      <c r="K149" s="72">
        <v>38394</v>
      </c>
      <c r="L149" s="72">
        <v>38581</v>
      </c>
      <c r="M149" s="72">
        <v>50353</v>
      </c>
    </row>
    <row r="150" spans="1:13">
      <c r="A150" s="73" t="s">
        <v>334</v>
      </c>
      <c r="B150" s="74">
        <v>20208</v>
      </c>
      <c r="C150" s="74">
        <v>24826</v>
      </c>
      <c r="D150" s="74">
        <v>33427</v>
      </c>
      <c r="E150" s="74">
        <v>36074</v>
      </c>
      <c r="F150" s="74">
        <v>40415</v>
      </c>
      <c r="G150" s="74">
        <v>48914</v>
      </c>
      <c r="H150" s="74">
        <v>50503</v>
      </c>
      <c r="I150" s="74">
        <v>54490</v>
      </c>
      <c r="J150" s="74">
        <v>53325</v>
      </c>
      <c r="K150" s="74">
        <v>49142</v>
      </c>
      <c r="L150" s="74">
        <v>49848</v>
      </c>
      <c r="M150" s="74">
        <v>50353</v>
      </c>
    </row>
    <row r="151" spans="1:13" ht="17">
      <c r="A151" s="73" t="s">
        <v>335</v>
      </c>
      <c r="B151" s="74">
        <v>16489</v>
      </c>
      <c r="C151" s="74">
        <v>20259</v>
      </c>
      <c r="D151" s="74">
        <v>24062</v>
      </c>
      <c r="E151" s="74">
        <v>26019</v>
      </c>
      <c r="F151" s="74">
        <v>257</v>
      </c>
      <c r="G151" s="74" t="s">
        <v>35</v>
      </c>
      <c r="H151" s="74" t="s">
        <v>35</v>
      </c>
      <c r="I151" s="74">
        <v>7745</v>
      </c>
      <c r="J151" s="74">
        <v>9506</v>
      </c>
      <c r="K151" s="74">
        <v>9936</v>
      </c>
      <c r="L151" s="74">
        <v>10408</v>
      </c>
      <c r="M151" s="74" t="s">
        <v>35</v>
      </c>
    </row>
    <row r="152" spans="1:13" ht="17">
      <c r="A152" s="73" t="s">
        <v>336</v>
      </c>
      <c r="B152" s="74" t="s">
        <v>35</v>
      </c>
      <c r="C152" s="74" t="s">
        <v>35</v>
      </c>
      <c r="D152" s="74" t="s">
        <v>35</v>
      </c>
      <c r="E152" s="74" t="s">
        <v>35</v>
      </c>
      <c r="F152" s="74">
        <v>31504</v>
      </c>
      <c r="G152" s="74" t="s">
        <v>35</v>
      </c>
      <c r="H152" s="74" t="s">
        <v>35</v>
      </c>
      <c r="I152" s="74">
        <v>637</v>
      </c>
      <c r="J152" s="74">
        <v>769</v>
      </c>
      <c r="K152" s="74">
        <v>812</v>
      </c>
      <c r="L152" s="74">
        <v>859</v>
      </c>
      <c r="M152" s="74" t="s">
        <v>35</v>
      </c>
    </row>
    <row r="153" spans="1:13" ht="17">
      <c r="A153" s="73" t="s">
        <v>337</v>
      </c>
      <c r="B153" s="74" t="s">
        <v>35</v>
      </c>
      <c r="C153" s="74" t="s">
        <v>35</v>
      </c>
      <c r="D153" s="74" t="s">
        <v>35</v>
      </c>
      <c r="E153" s="74" t="s">
        <v>35</v>
      </c>
      <c r="F153" s="74">
        <v>8654</v>
      </c>
      <c r="G153" s="74" t="s">
        <v>35</v>
      </c>
      <c r="H153" s="74" t="s">
        <v>35</v>
      </c>
      <c r="I153" s="74" t="s">
        <v>35</v>
      </c>
      <c r="J153" s="74" t="s">
        <v>35</v>
      </c>
      <c r="K153" s="74" t="s">
        <v>35</v>
      </c>
      <c r="L153" s="74" t="s">
        <v>35</v>
      </c>
      <c r="M153" s="74" t="s">
        <v>35</v>
      </c>
    </row>
    <row r="154" spans="1:13" ht="17">
      <c r="A154" s="73" t="s">
        <v>338</v>
      </c>
      <c r="B154" s="74" t="s">
        <v>35</v>
      </c>
      <c r="C154" s="74" t="s">
        <v>35</v>
      </c>
      <c r="D154" s="74" t="s">
        <v>35</v>
      </c>
      <c r="E154" s="74" t="s">
        <v>35</v>
      </c>
      <c r="F154" s="74">
        <v>40415</v>
      </c>
      <c r="G154" s="74" t="s">
        <v>35</v>
      </c>
      <c r="H154" s="74" t="s">
        <v>35</v>
      </c>
      <c r="I154" s="74" t="s">
        <v>35</v>
      </c>
      <c r="J154" s="74" t="s">
        <v>35</v>
      </c>
      <c r="K154" s="74" t="s">
        <v>35</v>
      </c>
      <c r="L154" s="74" t="s">
        <v>35</v>
      </c>
      <c r="M154" s="74" t="s">
        <v>35</v>
      </c>
    </row>
    <row r="155" spans="1:13" ht="17">
      <c r="A155" s="73" t="s">
        <v>335</v>
      </c>
      <c r="B155" s="74" t="s">
        <v>35</v>
      </c>
      <c r="C155" s="74" t="s">
        <v>35</v>
      </c>
      <c r="D155" s="74" t="s">
        <v>35</v>
      </c>
      <c r="E155" s="74" t="s">
        <v>35</v>
      </c>
      <c r="F155" s="74">
        <v>31504</v>
      </c>
      <c r="G155" s="74" t="s">
        <v>35</v>
      </c>
      <c r="H155" s="74" t="s">
        <v>35</v>
      </c>
      <c r="I155" s="74" t="s">
        <v>35</v>
      </c>
      <c r="J155" s="74" t="s">
        <v>35</v>
      </c>
      <c r="K155" s="74" t="s">
        <v>35</v>
      </c>
      <c r="L155" s="74" t="s">
        <v>35</v>
      </c>
      <c r="M155" s="74" t="s">
        <v>35</v>
      </c>
    </row>
    <row r="156" spans="1:13">
      <c r="A156" s="71" t="s">
        <v>339</v>
      </c>
      <c r="B156" s="75">
        <v>83451</v>
      </c>
      <c r="C156" s="75">
        <v>120292</v>
      </c>
      <c r="D156" s="75">
        <v>170990</v>
      </c>
      <c r="E156" s="75">
        <v>193437</v>
      </c>
      <c r="F156" s="75">
        <v>241272</v>
      </c>
      <c r="G156" s="75">
        <v>258578</v>
      </c>
      <c r="H156" s="75">
        <v>248028</v>
      </c>
      <c r="I156" s="75">
        <v>258549</v>
      </c>
      <c r="J156" s="75">
        <v>287912</v>
      </c>
      <c r="K156" s="75">
        <v>302083</v>
      </c>
      <c r="L156" s="75">
        <v>290437</v>
      </c>
      <c r="M156" s="75">
        <v>279414</v>
      </c>
    </row>
    <row r="157" spans="1:13">
      <c r="A157" s="62"/>
      <c r="B157" s="62"/>
      <c r="C157" s="62"/>
      <c r="D157" s="62"/>
      <c r="E157" s="62"/>
      <c r="F157" s="62"/>
      <c r="G157" s="62"/>
      <c r="H157" s="62"/>
      <c r="I157" s="62"/>
      <c r="J157" s="62"/>
      <c r="K157" s="62"/>
      <c r="L157" s="62"/>
      <c r="M157" s="62"/>
    </row>
    <row r="158" spans="1:13">
      <c r="A158" s="62" t="s">
        <v>340</v>
      </c>
      <c r="B158" s="72">
        <v>19764</v>
      </c>
      <c r="C158" s="72">
        <v>23313</v>
      </c>
      <c r="D158" s="72">
        <v>27416</v>
      </c>
      <c r="E158" s="72">
        <v>31251</v>
      </c>
      <c r="F158" s="72">
        <v>35867</v>
      </c>
      <c r="G158" s="72">
        <v>40201</v>
      </c>
      <c r="H158" s="72">
        <v>45174</v>
      </c>
      <c r="I158" s="72">
        <v>50779</v>
      </c>
      <c r="J158" s="72">
        <v>57365</v>
      </c>
      <c r="K158" s="72">
        <v>64849</v>
      </c>
      <c r="L158" s="72">
        <v>73812</v>
      </c>
      <c r="M158" s="72">
        <v>75236</v>
      </c>
    </row>
    <row r="159" spans="1:13">
      <c r="A159" s="73" t="s">
        <v>341</v>
      </c>
      <c r="B159" s="74">
        <v>19764</v>
      </c>
      <c r="C159" s="74">
        <v>23313</v>
      </c>
      <c r="D159" s="74">
        <v>27416</v>
      </c>
      <c r="E159" s="74">
        <v>31251</v>
      </c>
      <c r="F159" s="74">
        <v>35867</v>
      </c>
      <c r="G159" s="74">
        <v>40201</v>
      </c>
      <c r="H159" s="74">
        <v>45174</v>
      </c>
      <c r="I159" s="74">
        <v>50779</v>
      </c>
      <c r="J159" s="74">
        <v>57365</v>
      </c>
      <c r="K159" s="74">
        <v>64849</v>
      </c>
      <c r="L159" s="74">
        <v>73812</v>
      </c>
      <c r="M159" s="74">
        <v>75236</v>
      </c>
    </row>
    <row r="160" spans="1:13" ht="17">
      <c r="A160" s="62" t="s">
        <v>342</v>
      </c>
      <c r="B160" s="72" t="s">
        <v>35</v>
      </c>
      <c r="C160" s="72" t="s">
        <v>35</v>
      </c>
      <c r="D160" s="72" t="s">
        <v>35</v>
      </c>
      <c r="E160" s="72" t="s">
        <v>35</v>
      </c>
      <c r="F160" s="72" t="s">
        <v>35</v>
      </c>
      <c r="G160" s="72" t="s">
        <v>35</v>
      </c>
      <c r="H160" s="72" t="s">
        <v>35</v>
      </c>
      <c r="I160" s="72" t="s">
        <v>35</v>
      </c>
      <c r="J160" s="72" t="s">
        <v>35</v>
      </c>
      <c r="K160" s="72" t="s">
        <v>35</v>
      </c>
      <c r="L160" s="72" t="s">
        <v>35</v>
      </c>
      <c r="M160" s="72" t="s">
        <v>35</v>
      </c>
    </row>
    <row r="161" spans="1:13">
      <c r="A161" s="62" t="s">
        <v>343</v>
      </c>
      <c r="B161" s="72">
        <v>104256</v>
      </c>
      <c r="C161" s="72">
        <v>87152</v>
      </c>
      <c r="D161" s="72">
        <v>92284</v>
      </c>
      <c r="E161" s="72">
        <v>96364</v>
      </c>
      <c r="F161" s="72">
        <v>98330</v>
      </c>
      <c r="G161" s="72">
        <v>70400</v>
      </c>
      <c r="H161" s="72">
        <v>45898</v>
      </c>
      <c r="I161" s="72">
        <v>14966</v>
      </c>
      <c r="J161" s="72">
        <v>5562</v>
      </c>
      <c r="K161" s="72">
        <v>-3068</v>
      </c>
      <c r="L161" s="72">
        <v>-214</v>
      </c>
      <c r="M161" s="72">
        <v>8242</v>
      </c>
    </row>
    <row r="162" spans="1:13" ht="17">
      <c r="A162" s="73" t="s">
        <v>344</v>
      </c>
      <c r="B162" s="74">
        <v>104256</v>
      </c>
      <c r="C162" s="74">
        <v>87152</v>
      </c>
      <c r="D162" s="74">
        <v>92284</v>
      </c>
      <c r="E162" s="74">
        <v>96364</v>
      </c>
      <c r="F162" s="74">
        <v>98330</v>
      </c>
      <c r="G162" s="74">
        <v>70400</v>
      </c>
      <c r="H162" s="74">
        <v>45898</v>
      </c>
      <c r="I162" s="74">
        <v>14966</v>
      </c>
      <c r="J162" s="74">
        <v>5562</v>
      </c>
      <c r="K162" s="74">
        <v>-3068</v>
      </c>
      <c r="L162" s="74">
        <v>-214</v>
      </c>
      <c r="M162" s="74" t="s">
        <v>35</v>
      </c>
    </row>
    <row r="163" spans="1:13" ht="17">
      <c r="A163" s="73" t="s">
        <v>345</v>
      </c>
      <c r="B163" s="74" t="s">
        <v>35</v>
      </c>
      <c r="C163" s="74" t="s">
        <v>35</v>
      </c>
      <c r="D163" s="74" t="s">
        <v>35</v>
      </c>
      <c r="E163" s="74" t="s">
        <v>35</v>
      </c>
      <c r="F163" s="74" t="s">
        <v>35</v>
      </c>
      <c r="G163" s="74" t="s">
        <v>35</v>
      </c>
      <c r="H163" s="74" t="s">
        <v>35</v>
      </c>
      <c r="I163" s="74" t="s">
        <v>35</v>
      </c>
      <c r="J163" s="74" t="s">
        <v>35</v>
      </c>
      <c r="K163" s="74" t="s">
        <v>35</v>
      </c>
      <c r="L163" s="74" t="s">
        <v>35</v>
      </c>
      <c r="M163" s="74">
        <v>8242</v>
      </c>
    </row>
    <row r="164" spans="1:13" ht="17">
      <c r="A164" s="62" t="s">
        <v>346</v>
      </c>
      <c r="B164" s="72" t="s">
        <v>35</v>
      </c>
      <c r="C164" s="72" t="s">
        <v>35</v>
      </c>
      <c r="D164" s="72" t="s">
        <v>35</v>
      </c>
      <c r="E164" s="72" t="s">
        <v>35</v>
      </c>
      <c r="F164" s="72" t="s">
        <v>35</v>
      </c>
      <c r="G164" s="72" t="s">
        <v>35</v>
      </c>
      <c r="H164" s="72" t="s">
        <v>35</v>
      </c>
      <c r="I164" s="72" t="s">
        <v>35</v>
      </c>
      <c r="J164" s="72" t="s">
        <v>35</v>
      </c>
      <c r="K164" s="72" t="s">
        <v>35</v>
      </c>
      <c r="L164" s="72" t="s">
        <v>35</v>
      </c>
      <c r="M164" s="72" t="s">
        <v>35</v>
      </c>
    </row>
    <row r="165" spans="1:13">
      <c r="A165" s="62" t="s">
        <v>347</v>
      </c>
      <c r="B165" s="72">
        <v>-471</v>
      </c>
      <c r="C165" s="72">
        <v>1082</v>
      </c>
      <c r="D165" s="72">
        <v>-345</v>
      </c>
      <c r="E165" s="72">
        <v>634</v>
      </c>
      <c r="F165" s="72">
        <v>-150</v>
      </c>
      <c r="G165" s="72">
        <v>-3454</v>
      </c>
      <c r="H165" s="72">
        <v>-584</v>
      </c>
      <c r="I165" s="72">
        <v>-406</v>
      </c>
      <c r="J165" s="72">
        <v>163</v>
      </c>
      <c r="K165" s="72">
        <v>-11109</v>
      </c>
      <c r="L165" s="72">
        <v>-11452</v>
      </c>
      <c r="M165" s="72">
        <v>-9378</v>
      </c>
    </row>
    <row r="166" spans="1:13" ht="17">
      <c r="A166" s="73" t="s">
        <v>348</v>
      </c>
      <c r="B166" s="74" t="s">
        <v>35</v>
      </c>
      <c r="C166" s="74" t="s">
        <v>35</v>
      </c>
      <c r="D166" s="74" t="s">
        <v>35</v>
      </c>
      <c r="E166" s="74" t="s">
        <v>35</v>
      </c>
      <c r="F166" s="74" t="s">
        <v>35</v>
      </c>
      <c r="G166" s="74" t="s">
        <v>35</v>
      </c>
      <c r="H166" s="74" t="s">
        <v>35</v>
      </c>
      <c r="I166" s="74">
        <v>-406</v>
      </c>
      <c r="J166" s="74">
        <v>163</v>
      </c>
      <c r="K166" s="74">
        <v>-11109</v>
      </c>
      <c r="L166" s="74">
        <v>-11452</v>
      </c>
      <c r="M166" s="74" t="s">
        <v>35</v>
      </c>
    </row>
    <row r="167" spans="1:13" ht="17">
      <c r="A167" s="73" t="s">
        <v>349</v>
      </c>
      <c r="B167" s="74">
        <v>-471</v>
      </c>
      <c r="C167" s="74">
        <v>1082</v>
      </c>
      <c r="D167" s="74">
        <v>-345</v>
      </c>
      <c r="E167" s="74">
        <v>634</v>
      </c>
      <c r="F167" s="74">
        <v>-150</v>
      </c>
      <c r="G167" s="74">
        <v>-3454</v>
      </c>
      <c r="H167" s="74">
        <v>-584</v>
      </c>
      <c r="I167" s="74" t="s">
        <v>35</v>
      </c>
      <c r="J167" s="74" t="s">
        <v>35</v>
      </c>
      <c r="K167" s="74" t="s">
        <v>35</v>
      </c>
      <c r="L167" s="74" t="s">
        <v>35</v>
      </c>
      <c r="M167" s="74">
        <v>-9378</v>
      </c>
    </row>
    <row r="168" spans="1:13" ht="17">
      <c r="A168" s="73" t="s">
        <v>350</v>
      </c>
      <c r="B168" s="74">
        <v>-105</v>
      </c>
      <c r="C168" s="74">
        <v>-242</v>
      </c>
      <c r="D168" s="74">
        <v>-653</v>
      </c>
      <c r="E168" s="74">
        <v>-578</v>
      </c>
      <c r="F168" s="74">
        <v>-354</v>
      </c>
      <c r="G168" s="74">
        <v>-1055</v>
      </c>
      <c r="H168" s="74">
        <v>-1463</v>
      </c>
      <c r="I168" s="74" t="s">
        <v>35</v>
      </c>
      <c r="J168" s="74" t="s">
        <v>35</v>
      </c>
      <c r="K168" s="74" t="s">
        <v>35</v>
      </c>
      <c r="L168" s="74" t="s">
        <v>35</v>
      </c>
      <c r="M168" s="74" t="s">
        <v>35</v>
      </c>
    </row>
    <row r="169" spans="1:13" ht="17">
      <c r="A169" s="73" t="s">
        <v>351</v>
      </c>
      <c r="B169" s="74">
        <v>-175</v>
      </c>
      <c r="C169" s="74" t="s">
        <v>35</v>
      </c>
      <c r="D169" s="74">
        <v>772</v>
      </c>
      <c r="E169" s="74">
        <v>38</v>
      </c>
      <c r="F169" s="74">
        <v>-124</v>
      </c>
      <c r="G169" s="74">
        <v>810</v>
      </c>
      <c r="H169" s="74">
        <v>172</v>
      </c>
      <c r="I169" s="74" t="s">
        <v>35</v>
      </c>
      <c r="J169" s="74" t="s">
        <v>35</v>
      </c>
      <c r="K169" s="74" t="s">
        <v>35</v>
      </c>
      <c r="L169" s="74" t="s">
        <v>35</v>
      </c>
      <c r="M169" s="74" t="s">
        <v>35</v>
      </c>
    </row>
    <row r="170" spans="1:13" ht="17">
      <c r="A170" s="73" t="s">
        <v>351</v>
      </c>
      <c r="B170" s="74">
        <v>-191</v>
      </c>
      <c r="C170" s="74" t="s">
        <v>35</v>
      </c>
      <c r="D170" s="74">
        <v>-464</v>
      </c>
      <c r="E170" s="74">
        <v>1174</v>
      </c>
      <c r="F170" s="74">
        <v>328</v>
      </c>
      <c r="G170" s="74">
        <v>-3209</v>
      </c>
      <c r="H170" s="74">
        <v>707</v>
      </c>
      <c r="I170" s="74" t="s">
        <v>35</v>
      </c>
      <c r="J170" s="74" t="s">
        <v>35</v>
      </c>
      <c r="K170" s="74" t="s">
        <v>35</v>
      </c>
      <c r="L170" s="74" t="s">
        <v>35</v>
      </c>
      <c r="M170" s="74" t="s">
        <v>35</v>
      </c>
    </row>
    <row r="171" spans="1:13" ht="17">
      <c r="A171" s="73" t="s">
        <v>349</v>
      </c>
      <c r="B171" s="74">
        <v>-471</v>
      </c>
      <c r="C171" s="74" t="s">
        <v>35</v>
      </c>
      <c r="D171" s="74">
        <v>-345</v>
      </c>
      <c r="E171" s="74">
        <v>634</v>
      </c>
      <c r="F171" s="74">
        <v>-150</v>
      </c>
      <c r="G171" s="74">
        <v>-3454</v>
      </c>
      <c r="H171" s="74">
        <v>-584</v>
      </c>
      <c r="I171" s="74" t="s">
        <v>35</v>
      </c>
      <c r="J171" s="74" t="s">
        <v>35</v>
      </c>
      <c r="K171" s="74" t="s">
        <v>35</v>
      </c>
      <c r="L171" s="74" t="s">
        <v>35</v>
      </c>
      <c r="M171" s="74" t="s">
        <v>35</v>
      </c>
    </row>
    <row r="172" spans="1:13" ht="17">
      <c r="A172" s="73" t="s">
        <v>350</v>
      </c>
      <c r="B172" s="74">
        <v>-105</v>
      </c>
      <c r="C172" s="74" t="s">
        <v>35</v>
      </c>
      <c r="D172" s="74">
        <v>-653</v>
      </c>
      <c r="E172" s="74">
        <v>-578</v>
      </c>
      <c r="F172" s="74">
        <v>-354</v>
      </c>
      <c r="G172" s="74">
        <v>-1055</v>
      </c>
      <c r="H172" s="74">
        <v>-1463</v>
      </c>
      <c r="I172" s="74" t="s">
        <v>35</v>
      </c>
      <c r="J172" s="74" t="s">
        <v>35</v>
      </c>
      <c r="K172" s="74" t="s">
        <v>35</v>
      </c>
      <c r="L172" s="74" t="s">
        <v>35</v>
      </c>
      <c r="M172" s="74" t="s">
        <v>35</v>
      </c>
    </row>
    <row r="173" spans="1:13" ht="17">
      <c r="A173" s="73" t="s">
        <v>352</v>
      </c>
      <c r="B173" s="74">
        <v>-105</v>
      </c>
      <c r="C173" s="74">
        <v>-242</v>
      </c>
      <c r="D173" s="74">
        <v>-653</v>
      </c>
      <c r="E173" s="74">
        <v>-578</v>
      </c>
      <c r="F173" s="74">
        <v>-354</v>
      </c>
      <c r="G173" s="74">
        <v>-1055</v>
      </c>
      <c r="H173" s="74">
        <v>-1463</v>
      </c>
      <c r="I173" s="74" t="s">
        <v>35</v>
      </c>
      <c r="J173" s="74" t="s">
        <v>35</v>
      </c>
      <c r="K173" s="74" t="s">
        <v>35</v>
      </c>
      <c r="L173" s="74" t="s">
        <v>35</v>
      </c>
      <c r="M173" s="74" t="s">
        <v>35</v>
      </c>
    </row>
    <row r="174" spans="1:13">
      <c r="A174" s="71" t="s">
        <v>353</v>
      </c>
      <c r="B174" s="75">
        <v>123549</v>
      </c>
      <c r="C174" s="75">
        <v>111547</v>
      </c>
      <c r="D174" s="75">
        <v>119355</v>
      </c>
      <c r="E174" s="75">
        <v>128249</v>
      </c>
      <c r="F174" s="75">
        <v>134047</v>
      </c>
      <c r="G174" s="75">
        <v>107147</v>
      </c>
      <c r="H174" s="75">
        <v>90488</v>
      </c>
      <c r="I174" s="75">
        <v>65339</v>
      </c>
      <c r="J174" s="75">
        <v>63090</v>
      </c>
      <c r="K174" s="75">
        <v>50672</v>
      </c>
      <c r="L174" s="75">
        <v>62146</v>
      </c>
      <c r="M174" s="75">
        <v>74100</v>
      </c>
    </row>
    <row r="175" spans="1:13">
      <c r="A175" s="62"/>
      <c r="B175" s="62"/>
      <c r="C175" s="62"/>
      <c r="D175" s="62"/>
      <c r="E175" s="62"/>
      <c r="F175" s="62"/>
      <c r="G175" s="62"/>
      <c r="H175" s="62"/>
      <c r="I175" s="62"/>
      <c r="J175" s="62"/>
      <c r="K175" s="62"/>
      <c r="L175" s="62"/>
      <c r="M175" s="62"/>
    </row>
    <row r="176" spans="1:13">
      <c r="A176" s="71" t="s">
        <v>354</v>
      </c>
      <c r="B176" s="88">
        <v>123549</v>
      </c>
      <c r="C176" s="88">
        <v>111547</v>
      </c>
      <c r="D176" s="88">
        <v>119355</v>
      </c>
      <c r="E176" s="88">
        <v>128249</v>
      </c>
      <c r="F176" s="88">
        <v>134047</v>
      </c>
      <c r="G176" s="88">
        <v>107147</v>
      </c>
      <c r="H176" s="88">
        <v>90488</v>
      </c>
      <c r="I176" s="88">
        <v>65339</v>
      </c>
      <c r="J176" s="88">
        <v>63090</v>
      </c>
      <c r="K176" s="88">
        <v>50672</v>
      </c>
      <c r="L176" s="88">
        <v>62146</v>
      </c>
      <c r="M176" s="88">
        <v>74100</v>
      </c>
    </row>
    <row r="177" spans="1:15">
      <c r="A177" s="62"/>
      <c r="B177" s="62"/>
      <c r="C177" s="62"/>
      <c r="D177" s="62"/>
      <c r="E177" s="62"/>
      <c r="F177" s="62"/>
      <c r="G177" s="62"/>
      <c r="H177" s="62"/>
      <c r="I177" s="62"/>
      <c r="J177" s="62"/>
      <c r="K177" s="62"/>
      <c r="L177" s="62"/>
      <c r="M177" s="62"/>
    </row>
    <row r="178" spans="1:15">
      <c r="A178" s="71" t="s">
        <v>355</v>
      </c>
      <c r="B178" s="89">
        <v>207000</v>
      </c>
      <c r="C178" s="89">
        <v>231839</v>
      </c>
      <c r="D178" s="89">
        <v>290345</v>
      </c>
      <c r="E178" s="89">
        <v>321686</v>
      </c>
      <c r="F178" s="89">
        <v>375319</v>
      </c>
      <c r="G178" s="89">
        <v>365725</v>
      </c>
      <c r="H178" s="89">
        <v>338516</v>
      </c>
      <c r="I178" s="89">
        <v>323888</v>
      </c>
      <c r="J178" s="89">
        <v>351002</v>
      </c>
      <c r="K178" s="89">
        <v>352755</v>
      </c>
      <c r="L178" s="89">
        <v>352583</v>
      </c>
      <c r="M178" s="89">
        <v>353514</v>
      </c>
    </row>
    <row r="179" spans="1:15">
      <c r="A179" s="62"/>
      <c r="B179" s="62"/>
      <c r="C179" s="62"/>
      <c r="D179" s="62"/>
      <c r="E179" s="62"/>
      <c r="F179" s="62"/>
      <c r="G179" s="62"/>
      <c r="H179" s="62"/>
      <c r="I179" s="62"/>
      <c r="J179" s="62"/>
      <c r="K179" s="62"/>
      <c r="L179" s="62"/>
      <c r="M179" s="62"/>
    </row>
    <row r="180" spans="1:15">
      <c r="A180" s="71" t="s">
        <v>177</v>
      </c>
      <c r="B180" s="62"/>
      <c r="C180" s="62"/>
      <c r="D180" s="62"/>
      <c r="E180" s="62"/>
      <c r="F180" s="62"/>
      <c r="G180" s="62"/>
      <c r="H180" s="62"/>
      <c r="I180" s="62"/>
      <c r="J180" s="62"/>
      <c r="K180" s="62"/>
      <c r="L180" s="62"/>
      <c r="M180" s="62"/>
      <c r="N180" s="29" t="s">
        <v>669</v>
      </c>
      <c r="O180" s="29" t="s">
        <v>671</v>
      </c>
    </row>
    <row r="181" spans="1:15">
      <c r="A181" s="62" t="s">
        <v>356</v>
      </c>
      <c r="B181" s="72">
        <v>25192.664000000001</v>
      </c>
      <c r="C181" s="72">
        <v>23459.360000000001</v>
      </c>
      <c r="D181" s="72">
        <v>22301.324000000001</v>
      </c>
      <c r="E181" s="72">
        <v>21329.252</v>
      </c>
      <c r="F181" s="72">
        <v>20537.248</v>
      </c>
      <c r="G181" s="72">
        <v>18981.592000000001</v>
      </c>
      <c r="H181" s="72">
        <v>17773.060000000001</v>
      </c>
      <c r="I181" s="72">
        <v>17001.802</v>
      </c>
      <c r="J181" s="72">
        <v>16406.397000000001</v>
      </c>
      <c r="K181" s="72">
        <v>15908.118</v>
      </c>
      <c r="L181" s="72">
        <v>15552.752</v>
      </c>
      <c r="M181" s="121">
        <v>15441.880999999999</v>
      </c>
      <c r="N181" s="29">
        <f>IS!O106</f>
        <v>1.0044276952966262</v>
      </c>
      <c r="O181" s="122">
        <f>M181*N181</f>
        <v>15510.252943874761</v>
      </c>
    </row>
    <row r="182" spans="1:15">
      <c r="A182" s="73" t="s">
        <v>357</v>
      </c>
      <c r="B182" s="74">
        <v>25192.664000000001</v>
      </c>
      <c r="C182" s="74">
        <v>23459.360000000001</v>
      </c>
      <c r="D182" s="74">
        <v>22301.324000000001</v>
      </c>
      <c r="E182" s="74">
        <v>21329.252</v>
      </c>
      <c r="F182" s="74">
        <v>20537.248</v>
      </c>
      <c r="G182" s="74">
        <v>18981.592000000001</v>
      </c>
      <c r="H182" s="74">
        <v>17773.060000000001</v>
      </c>
      <c r="I182" s="74">
        <v>17001.802</v>
      </c>
      <c r="J182" s="74">
        <v>16406.397000000001</v>
      </c>
      <c r="K182" s="74">
        <v>15908.118</v>
      </c>
      <c r="L182" s="74">
        <v>15552.752</v>
      </c>
      <c r="M182" s="74">
        <v>15441.880999999999</v>
      </c>
    </row>
    <row r="183" spans="1:15">
      <c r="A183" s="62" t="s">
        <v>358</v>
      </c>
      <c r="B183" s="72">
        <v>25177.975999999999</v>
      </c>
      <c r="C183" s="72">
        <v>23464.644</v>
      </c>
      <c r="D183" s="72">
        <v>22315.011999999999</v>
      </c>
      <c r="E183" s="72">
        <v>21344.664000000001</v>
      </c>
      <c r="F183" s="72">
        <v>20504.804</v>
      </c>
      <c r="G183" s="72">
        <v>19019.944</v>
      </c>
      <c r="H183" s="72">
        <v>17772.944</v>
      </c>
      <c r="I183" s="72">
        <v>16976.762999999999</v>
      </c>
      <c r="J183" s="72">
        <v>16426.786</v>
      </c>
      <c r="K183" s="72">
        <v>15943.424999999999</v>
      </c>
      <c r="L183" s="72">
        <v>15550.061</v>
      </c>
      <c r="M183" s="72">
        <v>15460.223</v>
      </c>
    </row>
    <row r="184" spans="1:15">
      <c r="A184" s="73" t="s">
        <v>357</v>
      </c>
      <c r="B184" s="74">
        <v>25177.975999999999</v>
      </c>
      <c r="C184" s="74">
        <v>23464.644</v>
      </c>
      <c r="D184" s="74">
        <v>22315.011999999999</v>
      </c>
      <c r="E184" s="74">
        <v>21344.664000000001</v>
      </c>
      <c r="F184" s="74">
        <v>20504.804</v>
      </c>
      <c r="G184" s="74">
        <v>19019.944</v>
      </c>
      <c r="H184" s="74">
        <v>17772.944</v>
      </c>
      <c r="I184" s="74">
        <v>16976.762999999999</v>
      </c>
      <c r="J184" s="74">
        <v>16426.786</v>
      </c>
      <c r="K184" s="74">
        <v>15943.424999999999</v>
      </c>
      <c r="L184" s="74">
        <v>15550.061</v>
      </c>
      <c r="M184" s="74">
        <v>15460.223</v>
      </c>
    </row>
    <row r="185" spans="1:15">
      <c r="A185" s="62" t="s">
        <v>359</v>
      </c>
      <c r="B185" s="78">
        <v>4.91</v>
      </c>
      <c r="C185" s="78">
        <v>4.75</v>
      </c>
      <c r="D185" s="78">
        <v>5.35</v>
      </c>
      <c r="E185" s="78">
        <v>6.01</v>
      </c>
      <c r="F185" s="78">
        <v>6.54</v>
      </c>
      <c r="G185" s="78">
        <v>5.63</v>
      </c>
      <c r="H185" s="78">
        <v>5.09</v>
      </c>
      <c r="I185" s="78">
        <v>3.85</v>
      </c>
      <c r="J185" s="78">
        <v>3.84</v>
      </c>
      <c r="K185" s="78">
        <v>3.18</v>
      </c>
      <c r="L185" s="78">
        <v>4</v>
      </c>
      <c r="M185" s="78">
        <v>4.79</v>
      </c>
    </row>
    <row r="186" spans="1:15">
      <c r="A186" s="62" t="s">
        <v>360</v>
      </c>
      <c r="B186" s="72">
        <v>117793</v>
      </c>
      <c r="C186" s="72">
        <v>102789</v>
      </c>
      <c r="D186" s="72">
        <v>110346</v>
      </c>
      <c r="E186" s="72">
        <v>119629</v>
      </c>
      <c r="F186" s="72">
        <v>134047</v>
      </c>
      <c r="G186" s="72">
        <v>107147</v>
      </c>
      <c r="H186" s="72">
        <v>90488</v>
      </c>
      <c r="I186" s="72">
        <v>65339</v>
      </c>
      <c r="J186" s="72">
        <v>63090</v>
      </c>
      <c r="K186" s="72">
        <v>50672</v>
      </c>
      <c r="L186" s="72">
        <v>62146</v>
      </c>
      <c r="M186" s="72">
        <v>74100</v>
      </c>
    </row>
    <row r="187" spans="1:15">
      <c r="A187" s="62" t="s">
        <v>361</v>
      </c>
      <c r="B187" s="78">
        <v>4.68</v>
      </c>
      <c r="C187" s="78">
        <v>4.38</v>
      </c>
      <c r="D187" s="78">
        <v>4.9400000000000004</v>
      </c>
      <c r="E187" s="78">
        <v>5.6</v>
      </c>
      <c r="F187" s="78">
        <v>6.54</v>
      </c>
      <c r="G187" s="78">
        <v>5.63</v>
      </c>
      <c r="H187" s="78">
        <v>5.09</v>
      </c>
      <c r="I187" s="78">
        <v>3.85</v>
      </c>
      <c r="J187" s="78">
        <v>3.84</v>
      </c>
      <c r="K187" s="78">
        <v>3.18</v>
      </c>
      <c r="L187" s="78">
        <v>4</v>
      </c>
      <c r="M187" s="78">
        <v>4.79</v>
      </c>
    </row>
    <row r="188" spans="1:15">
      <c r="A188" s="62" t="s">
        <v>362</v>
      </c>
      <c r="B188" s="72">
        <v>16960</v>
      </c>
      <c r="C188" s="72">
        <v>35295</v>
      </c>
      <c r="D188" s="72">
        <v>64341</v>
      </c>
      <c r="E188" s="72">
        <v>87032</v>
      </c>
      <c r="F188" s="72">
        <v>115680</v>
      </c>
      <c r="G188" s="72">
        <v>114483</v>
      </c>
      <c r="H188" s="72">
        <v>108047</v>
      </c>
      <c r="I188" s="72">
        <v>122278</v>
      </c>
      <c r="J188" s="72">
        <v>136522</v>
      </c>
      <c r="K188" s="72">
        <v>132480</v>
      </c>
      <c r="L188" s="72">
        <v>123930</v>
      </c>
      <c r="M188" s="72">
        <v>108040</v>
      </c>
    </row>
    <row r="189" spans="1:15">
      <c r="A189" s="62" t="s">
        <v>363</v>
      </c>
      <c r="B189" s="72">
        <v>-129845</v>
      </c>
      <c r="C189" s="72">
        <v>-120025</v>
      </c>
      <c r="D189" s="72">
        <v>-141719</v>
      </c>
      <c r="E189" s="72">
        <v>-150553</v>
      </c>
      <c r="F189" s="72">
        <v>-153215</v>
      </c>
      <c r="G189" s="72">
        <v>-122617</v>
      </c>
      <c r="H189" s="72">
        <v>-97851</v>
      </c>
      <c r="I189" s="72">
        <v>-69552</v>
      </c>
      <c r="J189" s="72">
        <v>-53994</v>
      </c>
      <c r="K189" s="72">
        <v>-36629</v>
      </c>
      <c r="L189" s="72">
        <v>-38169</v>
      </c>
      <c r="M189" s="72">
        <v>-64535</v>
      </c>
    </row>
    <row r="190" spans="1:15" ht="17">
      <c r="A190" s="62" t="s">
        <v>364</v>
      </c>
      <c r="B190" s="72">
        <v>5160</v>
      </c>
      <c r="C190" s="72">
        <v>5736</v>
      </c>
      <c r="D190" s="72">
        <v>6352</v>
      </c>
      <c r="E190" s="72">
        <v>7512</v>
      </c>
      <c r="F190" s="72">
        <v>8800</v>
      </c>
      <c r="G190" s="72">
        <v>9600</v>
      </c>
      <c r="H190" s="72">
        <v>10400</v>
      </c>
      <c r="I190" s="72">
        <v>86400</v>
      </c>
      <c r="J190" s="72">
        <v>116800</v>
      </c>
      <c r="K190" s="72">
        <v>134400</v>
      </c>
      <c r="L190" s="72">
        <v>127200</v>
      </c>
      <c r="M190" s="72" t="s">
        <v>180</v>
      </c>
    </row>
    <row r="191" spans="1:15" ht="17">
      <c r="A191" s="62" t="s">
        <v>365</v>
      </c>
      <c r="B191" s="83" t="s">
        <v>366</v>
      </c>
      <c r="C191" s="83" t="s">
        <v>366</v>
      </c>
      <c r="D191" s="83" t="s">
        <v>366</v>
      </c>
      <c r="E191" s="83" t="s">
        <v>366</v>
      </c>
      <c r="F191" s="83" t="s">
        <v>366</v>
      </c>
      <c r="G191" s="83" t="s">
        <v>366</v>
      </c>
      <c r="H191" s="83" t="s">
        <v>366</v>
      </c>
      <c r="I191" s="83" t="s">
        <v>366</v>
      </c>
      <c r="J191" s="83" t="s">
        <v>366</v>
      </c>
      <c r="K191" s="83" t="s">
        <v>366</v>
      </c>
      <c r="L191" s="83" t="s">
        <v>366</v>
      </c>
      <c r="M191" s="83" t="s">
        <v>180</v>
      </c>
    </row>
    <row r="192" spans="1:15" ht="17">
      <c r="A192" s="62" t="s">
        <v>367</v>
      </c>
      <c r="B192" s="72">
        <v>683</v>
      </c>
      <c r="C192" s="72" t="s">
        <v>180</v>
      </c>
      <c r="D192" s="72" t="s">
        <v>180</v>
      </c>
      <c r="E192" s="72" t="s">
        <v>180</v>
      </c>
      <c r="F192" s="72" t="s">
        <v>180</v>
      </c>
      <c r="G192" s="72" t="s">
        <v>180</v>
      </c>
      <c r="H192" s="72" t="s">
        <v>180</v>
      </c>
      <c r="I192" s="72" t="s">
        <v>180</v>
      </c>
      <c r="J192" s="72" t="s">
        <v>180</v>
      </c>
      <c r="K192" s="72" t="s">
        <v>180</v>
      </c>
      <c r="L192" s="72" t="s">
        <v>180</v>
      </c>
      <c r="M192" s="72" t="s">
        <v>180</v>
      </c>
    </row>
    <row r="193" spans="1:13" ht="17">
      <c r="A193" s="62" t="s">
        <v>368</v>
      </c>
      <c r="B193" s="72">
        <v>1081</v>
      </c>
      <c r="C193" s="72" t="s">
        <v>180</v>
      </c>
      <c r="D193" s="72" t="s">
        <v>180</v>
      </c>
      <c r="E193" s="72" t="s">
        <v>180</v>
      </c>
      <c r="F193" s="72" t="s">
        <v>180</v>
      </c>
      <c r="G193" s="72" t="s">
        <v>180</v>
      </c>
      <c r="H193" s="72" t="s">
        <v>180</v>
      </c>
      <c r="I193" s="72" t="s">
        <v>180</v>
      </c>
      <c r="J193" s="72" t="s">
        <v>180</v>
      </c>
      <c r="K193" s="72" t="s">
        <v>180</v>
      </c>
      <c r="L193" s="72" t="s">
        <v>180</v>
      </c>
      <c r="M193" s="72" t="s">
        <v>180</v>
      </c>
    </row>
    <row r="194" spans="1:13" ht="17">
      <c r="A194" s="62" t="s">
        <v>369</v>
      </c>
      <c r="B194" s="72">
        <v>3309</v>
      </c>
      <c r="C194" s="72">
        <v>4863</v>
      </c>
      <c r="D194" s="72">
        <v>6956</v>
      </c>
      <c r="E194" s="72">
        <v>10185</v>
      </c>
      <c r="F194" s="72">
        <v>13587</v>
      </c>
      <c r="G194" s="72">
        <v>16216</v>
      </c>
      <c r="H194" s="72">
        <v>17085</v>
      </c>
      <c r="I194" s="72">
        <v>17952</v>
      </c>
      <c r="J194" s="72">
        <v>20041</v>
      </c>
      <c r="K194" s="72">
        <v>22126</v>
      </c>
      <c r="L194" s="72">
        <v>23446</v>
      </c>
      <c r="M194" s="72" t="s">
        <v>180</v>
      </c>
    </row>
    <row r="195" spans="1:13" ht="17">
      <c r="A195" s="62" t="s">
        <v>370</v>
      </c>
      <c r="B195" s="72">
        <v>21242</v>
      </c>
      <c r="C195" s="72">
        <v>29639</v>
      </c>
      <c r="D195" s="72">
        <v>37038</v>
      </c>
      <c r="E195" s="72">
        <v>44543</v>
      </c>
      <c r="F195" s="72">
        <v>54210</v>
      </c>
      <c r="G195" s="72">
        <v>65982</v>
      </c>
      <c r="H195" s="72">
        <v>69797</v>
      </c>
      <c r="I195" s="72">
        <v>75291</v>
      </c>
      <c r="J195" s="72">
        <v>78659</v>
      </c>
      <c r="K195" s="72">
        <v>81060</v>
      </c>
      <c r="L195" s="72">
        <v>78314</v>
      </c>
      <c r="M195" s="72" t="s">
        <v>180</v>
      </c>
    </row>
    <row r="196" spans="1:13" ht="17">
      <c r="A196" s="62" t="s">
        <v>371</v>
      </c>
      <c r="B196" s="72">
        <v>3968</v>
      </c>
      <c r="C196" s="72">
        <v>4513</v>
      </c>
      <c r="D196" s="72">
        <v>5263</v>
      </c>
      <c r="E196" s="72">
        <v>6517</v>
      </c>
      <c r="F196" s="72">
        <v>7279</v>
      </c>
      <c r="G196" s="72">
        <v>8205</v>
      </c>
      <c r="H196" s="72">
        <v>9075</v>
      </c>
      <c r="I196" s="72">
        <v>10283</v>
      </c>
      <c r="J196" s="72">
        <v>11023</v>
      </c>
      <c r="K196" s="72">
        <v>11271</v>
      </c>
      <c r="L196" s="72">
        <v>12839</v>
      </c>
      <c r="M196" s="72" t="s">
        <v>35</v>
      </c>
    </row>
    <row r="197" spans="1:13" ht="17">
      <c r="A197" s="62" t="s">
        <v>372</v>
      </c>
      <c r="B197" s="90">
        <v>80300</v>
      </c>
      <c r="C197" s="90">
        <v>92600</v>
      </c>
      <c r="D197" s="90">
        <v>110000</v>
      </c>
      <c r="E197" s="90">
        <v>116000</v>
      </c>
      <c r="F197" s="90">
        <v>123000</v>
      </c>
      <c r="G197" s="90">
        <v>132000</v>
      </c>
      <c r="H197" s="90">
        <v>137000</v>
      </c>
      <c r="I197" s="90">
        <v>147000</v>
      </c>
      <c r="J197" s="90">
        <v>154000</v>
      </c>
      <c r="K197" s="90">
        <v>164000</v>
      </c>
      <c r="L197" s="90">
        <v>161000</v>
      </c>
      <c r="M197" s="90" t="s">
        <v>180</v>
      </c>
    </row>
    <row r="198" spans="1:13" ht="17">
      <c r="A198" s="62" t="s">
        <v>373</v>
      </c>
      <c r="B198" s="72">
        <v>99</v>
      </c>
      <c r="C198" s="72">
        <v>86</v>
      </c>
      <c r="D198" s="72">
        <v>63</v>
      </c>
      <c r="E198" s="72">
        <v>53</v>
      </c>
      <c r="F198" s="72" t="s">
        <v>180</v>
      </c>
      <c r="G198" s="72" t="s">
        <v>180</v>
      </c>
      <c r="H198" s="72" t="s">
        <v>180</v>
      </c>
      <c r="I198" s="72" t="s">
        <v>180</v>
      </c>
      <c r="J198" s="72" t="s">
        <v>180</v>
      </c>
      <c r="K198" s="72" t="s">
        <v>180</v>
      </c>
      <c r="L198" s="72" t="s">
        <v>180</v>
      </c>
      <c r="M198" s="72" t="s">
        <v>180</v>
      </c>
    </row>
    <row r="199" spans="1:13">
      <c r="A199" s="62" t="s">
        <v>191</v>
      </c>
      <c r="B199" s="82">
        <v>42305</v>
      </c>
      <c r="C199" s="82">
        <v>42669</v>
      </c>
      <c r="D199" s="82">
        <v>43042</v>
      </c>
      <c r="E199" s="82">
        <v>43409</v>
      </c>
      <c r="F199" s="82">
        <v>43769</v>
      </c>
      <c r="G199" s="82">
        <v>44134</v>
      </c>
      <c r="H199" s="82">
        <v>44498</v>
      </c>
      <c r="I199" s="82">
        <v>44862</v>
      </c>
      <c r="J199" s="82">
        <v>45233</v>
      </c>
      <c r="K199" s="82">
        <v>45233</v>
      </c>
      <c r="L199" s="82">
        <v>45233</v>
      </c>
      <c r="M199" s="82">
        <v>45324</v>
      </c>
    </row>
    <row r="200" spans="1:13" ht="17">
      <c r="A200" s="62" t="s">
        <v>192</v>
      </c>
      <c r="B200" s="83" t="s">
        <v>193</v>
      </c>
      <c r="C200" s="83" t="s">
        <v>193</v>
      </c>
      <c r="D200" s="83" t="s">
        <v>374</v>
      </c>
      <c r="E200" s="83" t="s">
        <v>193</v>
      </c>
      <c r="F200" s="83" t="s">
        <v>193</v>
      </c>
      <c r="G200" s="83" t="s">
        <v>375</v>
      </c>
      <c r="H200" s="83" t="s">
        <v>193</v>
      </c>
      <c r="I200" s="83" t="s">
        <v>193</v>
      </c>
      <c r="J200" s="83" t="s">
        <v>193</v>
      </c>
      <c r="K200" s="83" t="s">
        <v>193</v>
      </c>
      <c r="L200" s="83" t="s">
        <v>194</v>
      </c>
      <c r="M200" s="83" t="s">
        <v>194</v>
      </c>
    </row>
    <row r="201" spans="1:13" ht="17">
      <c r="A201" s="62" t="s">
        <v>195</v>
      </c>
      <c r="B201" s="83" t="s">
        <v>376</v>
      </c>
      <c r="C201" s="83" t="s">
        <v>376</v>
      </c>
      <c r="D201" s="83" t="s">
        <v>376</v>
      </c>
      <c r="E201" s="83" t="s">
        <v>376</v>
      </c>
      <c r="F201" s="83" t="s">
        <v>376</v>
      </c>
      <c r="G201" s="83" t="s">
        <v>376</v>
      </c>
      <c r="H201" s="83" t="s">
        <v>376</v>
      </c>
      <c r="I201" s="83" t="s">
        <v>376</v>
      </c>
      <c r="J201" s="83" t="s">
        <v>376</v>
      </c>
      <c r="K201" s="83" t="s">
        <v>196</v>
      </c>
      <c r="L201" s="83" t="s">
        <v>196</v>
      </c>
      <c r="M201" s="83" t="s">
        <v>196</v>
      </c>
    </row>
    <row r="202" spans="1:13">
      <c r="A202" s="62"/>
      <c r="B202" s="62"/>
      <c r="C202" s="62"/>
      <c r="D202" s="62"/>
      <c r="E202" s="62"/>
      <c r="F202" s="62"/>
      <c r="G202" s="62"/>
      <c r="H202" s="62"/>
      <c r="I202" s="62"/>
      <c r="J202" s="62"/>
      <c r="K202" s="62"/>
      <c r="L202" s="62"/>
      <c r="M202" s="62"/>
    </row>
    <row r="203" spans="1:13">
      <c r="A203" s="85"/>
      <c r="B203" s="85"/>
      <c r="C203" s="85"/>
      <c r="D203" s="85"/>
      <c r="E203" s="85"/>
      <c r="F203" s="85"/>
      <c r="G203" s="85"/>
      <c r="H203" s="85"/>
      <c r="I203" s="85"/>
      <c r="J203" s="85"/>
      <c r="K203" s="85"/>
      <c r="L203" s="85"/>
      <c r="M203" s="85"/>
    </row>
    <row r="204" spans="1:13">
      <c r="A204" s="29" t="s">
        <v>377</v>
      </c>
    </row>
    <row r="205" spans="1:13">
      <c r="A205" s="86" t="s">
        <v>80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autoPageBreaks="0"/>
  </sheetPr>
  <dimension ref="A5:IT108"/>
  <sheetViews>
    <sheetView topLeftCell="A15" workbookViewId="0">
      <pane xSplit="1" ySplit="2" topLeftCell="D17" activePane="bottomRight" state="frozen"/>
      <selection activeCell="A15" sqref="A15"/>
      <selection pane="topRight" activeCell="B15" sqref="B15"/>
      <selection pane="bottomLeft" activeCell="A17" sqref="A17"/>
      <selection pane="bottomRight" activeCell="L26" sqref="L26"/>
    </sheetView>
  </sheetViews>
  <sheetFormatPr baseColWidth="10" defaultRowHeight="16"/>
  <cols>
    <col min="1" max="1" width="45.83203125" style="29" customWidth="1"/>
    <col min="2" max="13" width="14.83203125" style="29" customWidth="1"/>
    <col min="14" max="15" width="9.33203125" style="29" customWidth="1"/>
    <col min="16" max="256" width="8.83203125" style="29" customWidth="1"/>
    <col min="257" max="16384" width="10.83203125" style="29"/>
  </cols>
  <sheetData>
    <row r="5" spans="1:254">
      <c r="A5" s="60" t="s">
        <v>378</v>
      </c>
    </row>
    <row r="7" spans="1:254" ht="34">
      <c r="A7" s="61" t="s">
        <v>379</v>
      </c>
      <c r="B7" s="36" t="s">
        <v>380</v>
      </c>
      <c r="C7" s="29" t="s">
        <v>84</v>
      </c>
      <c r="D7" s="62" t="s">
        <v>4</v>
      </c>
      <c r="E7" s="36" t="s">
        <v>381</v>
      </c>
      <c r="F7" s="29" t="s">
        <v>86</v>
      </c>
    </row>
    <row r="8" spans="1:254">
      <c r="A8" s="62"/>
      <c r="B8" s="36" t="s">
        <v>382</v>
      </c>
      <c r="C8" s="29" t="s">
        <v>88</v>
      </c>
      <c r="D8" s="62" t="s">
        <v>4</v>
      </c>
      <c r="E8" s="36" t="s">
        <v>383</v>
      </c>
      <c r="F8" s="29" t="s">
        <v>8</v>
      </c>
    </row>
    <row r="9" spans="1:254">
      <c r="A9" s="62"/>
      <c r="B9" s="36" t="s">
        <v>384</v>
      </c>
      <c r="C9" s="29" t="s">
        <v>91</v>
      </c>
      <c r="D9" s="62" t="s">
        <v>4</v>
      </c>
      <c r="E9" s="36" t="s">
        <v>385</v>
      </c>
      <c r="F9" s="29" t="s">
        <v>6</v>
      </c>
    </row>
    <row r="10" spans="1:254">
      <c r="A10" s="62"/>
      <c r="B10" s="36" t="s">
        <v>386</v>
      </c>
      <c r="C10" s="29" t="s">
        <v>10</v>
      </c>
      <c r="D10" s="62" t="s">
        <v>4</v>
      </c>
      <c r="E10" s="36" t="s">
        <v>387</v>
      </c>
      <c r="F10" s="63" t="s">
        <v>12</v>
      </c>
    </row>
    <row r="11" spans="1:254">
      <c r="A11" s="62"/>
      <c r="B11" s="36" t="s">
        <v>388</v>
      </c>
      <c r="C11" s="29" t="s">
        <v>96</v>
      </c>
      <c r="D11" s="62" t="s">
        <v>4</v>
      </c>
      <c r="E11" s="64"/>
      <c r="F11" s="64"/>
    </row>
    <row r="14" spans="1:254">
      <c r="A14" s="65" t="s">
        <v>389</v>
      </c>
      <c r="B14" s="65"/>
      <c r="C14" s="65"/>
      <c r="D14" s="65"/>
      <c r="E14" s="65"/>
      <c r="F14" s="65"/>
      <c r="G14" s="65"/>
      <c r="H14" s="65"/>
      <c r="I14" s="65"/>
      <c r="J14" s="65"/>
      <c r="K14" s="65"/>
      <c r="L14" s="65"/>
      <c r="M14" s="65"/>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c r="DQ14" s="66"/>
      <c r="DR14" s="66"/>
      <c r="DS14" s="66"/>
      <c r="DT14" s="66"/>
      <c r="DU14" s="66"/>
      <c r="DV14" s="66"/>
      <c r="DW14" s="66"/>
      <c r="DX14" s="66"/>
      <c r="DY14" s="66"/>
      <c r="DZ14" s="66"/>
      <c r="EA14" s="66"/>
      <c r="EB14" s="66"/>
      <c r="EC14" s="66"/>
      <c r="ED14" s="66"/>
      <c r="EE14" s="66"/>
      <c r="EF14" s="66"/>
      <c r="EG14" s="66"/>
      <c r="EH14" s="66"/>
      <c r="EI14" s="66"/>
      <c r="EJ14" s="66"/>
      <c r="EK14" s="66"/>
      <c r="EL14" s="66"/>
      <c r="EM14" s="66"/>
      <c r="EN14" s="66"/>
      <c r="EO14" s="66"/>
      <c r="EP14" s="66"/>
      <c r="EQ14" s="66"/>
      <c r="ER14" s="66"/>
      <c r="ES14" s="66"/>
      <c r="ET14" s="66"/>
      <c r="EU14" s="66"/>
      <c r="EV14" s="66"/>
      <c r="EW14" s="66"/>
      <c r="EX14" s="66"/>
      <c r="EY14" s="66"/>
      <c r="EZ14" s="66"/>
      <c r="FA14" s="66"/>
      <c r="FB14" s="66"/>
      <c r="FC14" s="66"/>
      <c r="FD14" s="66"/>
      <c r="FE14" s="66"/>
      <c r="FF14" s="66"/>
      <c r="FG14" s="66"/>
      <c r="FH14" s="66"/>
      <c r="FI14" s="66"/>
      <c r="FJ14" s="66"/>
      <c r="FK14" s="66"/>
      <c r="FL14" s="66"/>
      <c r="FM14" s="66"/>
      <c r="FN14" s="66"/>
      <c r="FO14" s="66"/>
      <c r="FP14" s="66"/>
      <c r="FQ14" s="66"/>
      <c r="FR14" s="66"/>
      <c r="FS14" s="66"/>
      <c r="FT14" s="66"/>
      <c r="FU14" s="66"/>
      <c r="FV14" s="66"/>
      <c r="FW14" s="66"/>
      <c r="FX14" s="66"/>
      <c r="FY14" s="66"/>
      <c r="FZ14" s="66"/>
      <c r="GA14" s="66"/>
      <c r="GB14" s="66"/>
      <c r="GC14" s="66"/>
      <c r="GD14" s="66"/>
      <c r="GE14" s="66"/>
      <c r="GF14" s="66"/>
      <c r="GG14" s="66"/>
      <c r="GH14" s="66"/>
      <c r="GI14" s="66"/>
      <c r="GJ14" s="66"/>
      <c r="GK14" s="66"/>
      <c r="GL14" s="66"/>
      <c r="GM14" s="66"/>
      <c r="GN14" s="66"/>
      <c r="GO14" s="66"/>
      <c r="GP14" s="66"/>
      <c r="GQ14" s="66"/>
      <c r="GR14" s="66"/>
      <c r="GS14" s="66"/>
      <c r="GT14" s="66"/>
      <c r="GU14" s="66"/>
      <c r="GV14" s="66"/>
      <c r="GW14" s="66"/>
      <c r="GX14" s="66"/>
      <c r="GY14" s="66"/>
      <c r="GZ14" s="66"/>
      <c r="HA14" s="66"/>
      <c r="HB14" s="66"/>
      <c r="HC14" s="66"/>
      <c r="HD14" s="66"/>
      <c r="HE14" s="66"/>
      <c r="HF14" s="66"/>
      <c r="HG14" s="66"/>
      <c r="HH14" s="66"/>
      <c r="HI14" s="66"/>
      <c r="HJ14" s="66"/>
      <c r="HK14" s="66"/>
      <c r="HL14" s="66"/>
      <c r="HM14" s="66"/>
      <c r="HN14" s="66"/>
      <c r="HO14" s="66"/>
      <c r="HP14" s="66"/>
      <c r="HQ14" s="66"/>
      <c r="HR14" s="66"/>
      <c r="HS14" s="66"/>
      <c r="HT14" s="66"/>
      <c r="HU14" s="66"/>
      <c r="HV14" s="66"/>
      <c r="HW14" s="66"/>
      <c r="HX14" s="66"/>
      <c r="HY14" s="66"/>
      <c r="HZ14" s="66"/>
      <c r="IA14" s="66"/>
      <c r="IB14" s="66"/>
      <c r="IC14" s="66"/>
      <c r="ID14" s="66"/>
      <c r="IE14" s="66"/>
      <c r="IF14" s="66"/>
      <c r="IG14" s="66"/>
      <c r="IH14" s="66"/>
      <c r="II14" s="66"/>
      <c r="IJ14" s="66"/>
      <c r="IK14" s="66"/>
      <c r="IL14" s="66"/>
      <c r="IM14" s="66"/>
      <c r="IN14" s="66"/>
      <c r="IO14" s="66"/>
      <c r="IP14" s="66"/>
      <c r="IQ14" s="66"/>
      <c r="IR14" s="66"/>
      <c r="IS14" s="66"/>
      <c r="IT14" s="66"/>
    </row>
    <row r="15" spans="1:254" ht="51">
      <c r="A15" s="67" t="s">
        <v>16</v>
      </c>
      <c r="B15" s="68" t="s">
        <v>98</v>
      </c>
      <c r="C15" s="68" t="s">
        <v>99</v>
      </c>
      <c r="D15" s="68" t="s">
        <v>100</v>
      </c>
      <c r="E15" s="68" t="s">
        <v>390</v>
      </c>
      <c r="F15" s="68" t="s">
        <v>391</v>
      </c>
      <c r="G15" s="68" t="s">
        <v>103</v>
      </c>
      <c r="H15" s="68" t="s">
        <v>104</v>
      </c>
      <c r="I15" s="68" t="s">
        <v>105</v>
      </c>
      <c r="J15" s="68" t="s">
        <v>106</v>
      </c>
      <c r="K15" s="68" t="s">
        <v>107</v>
      </c>
      <c r="L15" s="68" t="s">
        <v>108</v>
      </c>
      <c r="M15" s="68" t="s">
        <v>109</v>
      </c>
    </row>
    <row r="16" spans="1:254" ht="17">
      <c r="A16" s="69" t="s">
        <v>30</v>
      </c>
      <c r="B16" s="70" t="s">
        <v>31</v>
      </c>
      <c r="C16" s="70" t="s">
        <v>31</v>
      </c>
      <c r="D16" s="70" t="s">
        <v>31</v>
      </c>
      <c r="E16" s="70" t="s">
        <v>31</v>
      </c>
      <c r="F16" s="70" t="s">
        <v>31</v>
      </c>
      <c r="G16" s="70" t="s">
        <v>31</v>
      </c>
      <c r="H16" s="70" t="s">
        <v>31</v>
      </c>
      <c r="I16" s="70" t="s">
        <v>31</v>
      </c>
      <c r="J16" s="70" t="s">
        <v>31</v>
      </c>
      <c r="K16" s="70" t="s">
        <v>31</v>
      </c>
      <c r="L16" s="70" t="s">
        <v>31</v>
      </c>
      <c r="M16" s="70" t="s">
        <v>31</v>
      </c>
    </row>
    <row r="17" spans="1:13">
      <c r="A17" s="71" t="s">
        <v>42</v>
      </c>
      <c r="B17" s="62"/>
      <c r="C17" s="62"/>
      <c r="D17" s="62"/>
      <c r="E17" s="62"/>
      <c r="F17" s="62"/>
      <c r="G17" s="62"/>
      <c r="H17" s="62"/>
      <c r="I17" s="62"/>
      <c r="J17" s="62"/>
      <c r="K17" s="62"/>
      <c r="L17" s="62"/>
      <c r="M17" s="62"/>
    </row>
    <row r="18" spans="1:13">
      <c r="A18" s="71" t="s">
        <v>40</v>
      </c>
      <c r="B18" s="76">
        <v>37037</v>
      </c>
      <c r="C18" s="76">
        <v>39510</v>
      </c>
      <c r="D18" s="76">
        <v>53394</v>
      </c>
      <c r="E18" s="76">
        <v>45687</v>
      </c>
      <c r="F18" s="76">
        <v>48351</v>
      </c>
      <c r="G18" s="76">
        <v>59531</v>
      </c>
      <c r="H18" s="76">
        <v>55256</v>
      </c>
      <c r="I18" s="76">
        <v>57411</v>
      </c>
      <c r="J18" s="76">
        <v>94680</v>
      </c>
      <c r="K18" s="76">
        <v>99803</v>
      </c>
      <c r="L18" s="76">
        <v>96995</v>
      </c>
      <c r="M18" s="76">
        <v>100913</v>
      </c>
    </row>
    <row r="19" spans="1:13">
      <c r="A19" s="62" t="s">
        <v>134</v>
      </c>
      <c r="B19" s="72">
        <v>5797</v>
      </c>
      <c r="C19" s="72">
        <v>6846</v>
      </c>
      <c r="D19" s="72">
        <v>9957</v>
      </c>
      <c r="E19" s="72">
        <v>10505</v>
      </c>
      <c r="F19" s="72">
        <v>10157</v>
      </c>
      <c r="G19" s="72">
        <v>10903</v>
      </c>
      <c r="H19" s="72">
        <v>12547</v>
      </c>
      <c r="I19" s="72">
        <v>11056</v>
      </c>
      <c r="J19" s="72">
        <v>11284</v>
      </c>
      <c r="K19" s="72">
        <v>11104</v>
      </c>
      <c r="L19" s="72">
        <v>11519</v>
      </c>
      <c r="M19" s="72">
        <v>11451</v>
      </c>
    </row>
    <row r="20" spans="1:13" ht="17">
      <c r="A20" s="73" t="s">
        <v>392</v>
      </c>
      <c r="B20" s="74">
        <v>5800</v>
      </c>
      <c r="C20" s="74">
        <v>6900</v>
      </c>
      <c r="D20" s="74">
        <v>9200</v>
      </c>
      <c r="E20" s="74">
        <v>8300</v>
      </c>
      <c r="F20" s="74">
        <v>8200</v>
      </c>
      <c r="G20" s="74">
        <v>9300</v>
      </c>
      <c r="H20" s="74">
        <v>11300</v>
      </c>
      <c r="I20" s="74">
        <v>9700</v>
      </c>
      <c r="J20" s="74">
        <v>9500</v>
      </c>
      <c r="K20" s="74">
        <v>8700</v>
      </c>
      <c r="L20" s="74">
        <v>8500</v>
      </c>
      <c r="M20" s="74" t="s">
        <v>35</v>
      </c>
    </row>
    <row r="21" spans="1:13" ht="17">
      <c r="A21" s="73" t="s">
        <v>393</v>
      </c>
      <c r="B21" s="74">
        <v>6757</v>
      </c>
      <c r="C21" s="74">
        <v>7946</v>
      </c>
      <c r="D21" s="74">
        <v>11257</v>
      </c>
      <c r="E21" s="74">
        <v>10505</v>
      </c>
      <c r="F21" s="74">
        <v>10157</v>
      </c>
      <c r="G21" s="74">
        <v>10903</v>
      </c>
      <c r="H21" s="74">
        <v>12547</v>
      </c>
      <c r="I21" s="74">
        <v>11056</v>
      </c>
      <c r="J21" s="74">
        <v>11284</v>
      </c>
      <c r="K21" s="74">
        <v>11104</v>
      </c>
      <c r="L21" s="74">
        <v>11519</v>
      </c>
      <c r="M21" s="74" t="s">
        <v>35</v>
      </c>
    </row>
    <row r="22" spans="1:13" ht="17">
      <c r="A22" s="73" t="s">
        <v>394</v>
      </c>
      <c r="B22" s="74">
        <v>5800</v>
      </c>
      <c r="C22" s="74">
        <v>6900</v>
      </c>
      <c r="D22" s="74">
        <v>9200</v>
      </c>
      <c r="E22" s="74">
        <v>8300</v>
      </c>
      <c r="F22" s="74">
        <v>8200</v>
      </c>
      <c r="G22" s="74">
        <v>9300</v>
      </c>
      <c r="H22" s="74">
        <v>11300</v>
      </c>
      <c r="I22" s="74">
        <v>9700</v>
      </c>
      <c r="J22" s="74">
        <v>9500</v>
      </c>
      <c r="K22" s="74">
        <v>8700</v>
      </c>
      <c r="L22" s="74">
        <v>8500</v>
      </c>
      <c r="M22" s="74" t="s">
        <v>35</v>
      </c>
    </row>
    <row r="23" spans="1:13" ht="17">
      <c r="A23" s="73" t="s">
        <v>395</v>
      </c>
      <c r="B23" s="74">
        <v>960</v>
      </c>
      <c r="C23" s="74">
        <v>1100</v>
      </c>
      <c r="D23" s="74">
        <v>1300</v>
      </c>
      <c r="E23" s="74" t="s">
        <v>35</v>
      </c>
      <c r="F23" s="74" t="s">
        <v>35</v>
      </c>
      <c r="G23" s="74" t="s">
        <v>35</v>
      </c>
      <c r="H23" s="74" t="s">
        <v>35</v>
      </c>
      <c r="I23" s="74" t="s">
        <v>35</v>
      </c>
      <c r="J23" s="74" t="s">
        <v>35</v>
      </c>
      <c r="K23" s="74" t="s">
        <v>35</v>
      </c>
      <c r="L23" s="74" t="s">
        <v>35</v>
      </c>
      <c r="M23" s="74" t="s">
        <v>35</v>
      </c>
    </row>
    <row r="24" spans="1:13" ht="17">
      <c r="A24" s="62" t="s">
        <v>396</v>
      </c>
      <c r="B24" s="72">
        <v>960</v>
      </c>
      <c r="C24" s="72">
        <v>1100</v>
      </c>
      <c r="D24" s="72">
        <v>1300</v>
      </c>
      <c r="E24" s="72" t="s">
        <v>35</v>
      </c>
      <c r="F24" s="72" t="s">
        <v>35</v>
      </c>
      <c r="G24" s="72" t="s">
        <v>35</v>
      </c>
      <c r="H24" s="72" t="s">
        <v>35</v>
      </c>
      <c r="I24" s="72" t="s">
        <v>35</v>
      </c>
      <c r="J24" s="72" t="s">
        <v>35</v>
      </c>
      <c r="K24" s="72" t="s">
        <v>35</v>
      </c>
      <c r="L24" s="72" t="s">
        <v>35</v>
      </c>
      <c r="M24" s="72" t="s">
        <v>35</v>
      </c>
    </row>
    <row r="25" spans="1:13" ht="17">
      <c r="A25" s="73" t="s">
        <v>397</v>
      </c>
      <c r="B25" s="74">
        <v>960</v>
      </c>
      <c r="C25" s="74">
        <v>1100</v>
      </c>
      <c r="D25" s="74">
        <v>1300</v>
      </c>
      <c r="E25" s="74" t="s">
        <v>35</v>
      </c>
      <c r="F25" s="74" t="s">
        <v>35</v>
      </c>
      <c r="G25" s="74" t="s">
        <v>35</v>
      </c>
      <c r="H25" s="74" t="s">
        <v>35</v>
      </c>
      <c r="I25" s="74" t="s">
        <v>35</v>
      </c>
      <c r="J25" s="74" t="s">
        <v>35</v>
      </c>
      <c r="K25" s="74" t="s">
        <v>35</v>
      </c>
      <c r="L25" s="74" t="s">
        <v>35</v>
      </c>
      <c r="M25" s="74" t="s">
        <v>35</v>
      </c>
    </row>
    <row r="26" spans="1:13">
      <c r="A26" s="129" t="s">
        <v>398</v>
      </c>
      <c r="B26" s="130">
        <v>6757</v>
      </c>
      <c r="C26" s="130">
        <v>7946</v>
      </c>
      <c r="D26" s="130">
        <v>11257</v>
      </c>
      <c r="E26" s="130">
        <v>10505</v>
      </c>
      <c r="F26" s="130">
        <v>10157</v>
      </c>
      <c r="G26" s="130">
        <v>10903</v>
      </c>
      <c r="H26" s="130">
        <v>12547</v>
      </c>
      <c r="I26" s="130">
        <v>11056</v>
      </c>
      <c r="J26" s="130">
        <v>11284</v>
      </c>
      <c r="K26" s="130">
        <v>11104</v>
      </c>
      <c r="L26" s="130">
        <v>11519</v>
      </c>
      <c r="M26" s="75">
        <v>11451</v>
      </c>
    </row>
    <row r="27" spans="1:13">
      <c r="A27" s="62"/>
      <c r="B27" s="62"/>
      <c r="C27" s="62"/>
      <c r="D27" s="62"/>
      <c r="E27" s="62"/>
      <c r="F27" s="62"/>
      <c r="G27" s="62"/>
      <c r="H27" s="62"/>
      <c r="I27" s="62"/>
      <c r="J27" s="62"/>
      <c r="K27" s="62"/>
      <c r="L27" s="62"/>
      <c r="M27" s="62"/>
    </row>
    <row r="28" spans="1:13">
      <c r="A28" s="62" t="s">
        <v>399</v>
      </c>
      <c r="B28" s="72">
        <v>2253</v>
      </c>
      <c r="C28" s="72">
        <v>2863</v>
      </c>
      <c r="D28" s="72">
        <v>3586</v>
      </c>
      <c r="E28" s="72">
        <v>4210</v>
      </c>
      <c r="F28" s="72">
        <v>4840</v>
      </c>
      <c r="G28" s="72">
        <v>5340</v>
      </c>
      <c r="H28" s="72">
        <v>6068</v>
      </c>
      <c r="I28" s="72">
        <v>6829</v>
      </c>
      <c r="J28" s="72">
        <v>7906</v>
      </c>
      <c r="K28" s="72">
        <v>9038</v>
      </c>
      <c r="L28" s="72">
        <v>10833</v>
      </c>
      <c r="M28" s="72">
        <v>10925</v>
      </c>
    </row>
    <row r="29" spans="1:13" ht="17">
      <c r="A29" s="73" t="s">
        <v>400</v>
      </c>
      <c r="B29" s="74">
        <v>2253</v>
      </c>
      <c r="C29" s="74">
        <v>2863</v>
      </c>
      <c r="D29" s="74">
        <v>3586</v>
      </c>
      <c r="E29" s="74">
        <v>4210</v>
      </c>
      <c r="F29" s="74">
        <v>4840</v>
      </c>
      <c r="G29" s="74">
        <v>5340</v>
      </c>
      <c r="H29" s="74">
        <v>6068</v>
      </c>
      <c r="I29" s="74">
        <v>6829</v>
      </c>
      <c r="J29" s="74">
        <v>7906</v>
      </c>
      <c r="K29" s="74">
        <v>9038</v>
      </c>
      <c r="L29" s="74">
        <v>10833</v>
      </c>
      <c r="M29" s="74" t="s">
        <v>35</v>
      </c>
    </row>
    <row r="30" spans="1:13">
      <c r="A30" s="62" t="s">
        <v>401</v>
      </c>
      <c r="B30" s="72">
        <v>1141</v>
      </c>
      <c r="C30" s="72">
        <v>2347</v>
      </c>
      <c r="D30" s="72">
        <v>1767</v>
      </c>
      <c r="E30" s="72">
        <v>5424</v>
      </c>
      <c r="F30" s="72">
        <v>5800</v>
      </c>
      <c r="G30" s="72">
        <v>-33034</v>
      </c>
      <c r="H30" s="72">
        <v>-992</v>
      </c>
      <c r="I30" s="72">
        <v>-312</v>
      </c>
      <c r="J30" s="72">
        <v>-4921</v>
      </c>
      <c r="K30" s="72">
        <v>1006</v>
      </c>
      <c r="L30" s="72">
        <v>-2227</v>
      </c>
      <c r="M30" s="72">
        <v>-2899</v>
      </c>
    </row>
    <row r="31" spans="1:13" ht="17">
      <c r="A31" s="73" t="s">
        <v>402</v>
      </c>
      <c r="B31" s="74" t="s">
        <v>35</v>
      </c>
      <c r="C31" s="74" t="s">
        <v>35</v>
      </c>
      <c r="D31" s="74">
        <v>385</v>
      </c>
      <c r="E31" s="74">
        <v>486</v>
      </c>
      <c r="F31" s="74" t="s">
        <v>35</v>
      </c>
      <c r="G31" s="74">
        <v>-444</v>
      </c>
      <c r="H31" s="74">
        <v>-652</v>
      </c>
      <c r="I31" s="74">
        <v>-97</v>
      </c>
      <c r="J31" s="74">
        <v>-4921</v>
      </c>
      <c r="K31" s="74">
        <v>1006</v>
      </c>
      <c r="L31" s="74">
        <v>-2227</v>
      </c>
      <c r="M31" s="74" t="s">
        <v>35</v>
      </c>
    </row>
    <row r="32" spans="1:13" ht="17">
      <c r="A32" s="73" t="s">
        <v>403</v>
      </c>
      <c r="B32" s="74">
        <v>1141</v>
      </c>
      <c r="C32" s="74">
        <v>2347</v>
      </c>
      <c r="D32" s="74">
        <v>1382</v>
      </c>
      <c r="E32" s="74">
        <v>4938</v>
      </c>
      <c r="F32" s="74">
        <v>5966</v>
      </c>
      <c r="G32" s="74">
        <v>-32590</v>
      </c>
      <c r="H32" s="74">
        <v>-340</v>
      </c>
      <c r="I32" s="74">
        <v>-215</v>
      </c>
      <c r="J32" s="74" t="s">
        <v>35</v>
      </c>
      <c r="K32" s="74" t="s">
        <v>35</v>
      </c>
      <c r="L32" s="74" t="s">
        <v>35</v>
      </c>
      <c r="M32" s="74" t="s">
        <v>35</v>
      </c>
    </row>
    <row r="33" spans="1:13" ht="17">
      <c r="A33" s="73" t="s">
        <v>404</v>
      </c>
      <c r="B33" s="74" t="s">
        <v>35</v>
      </c>
      <c r="C33" s="74" t="s">
        <v>35</v>
      </c>
      <c r="D33" s="74" t="s">
        <v>35</v>
      </c>
      <c r="E33" s="74" t="s">
        <v>35</v>
      </c>
      <c r="F33" s="74">
        <v>-166</v>
      </c>
      <c r="G33" s="74" t="s">
        <v>35</v>
      </c>
      <c r="H33" s="74" t="s">
        <v>35</v>
      </c>
      <c r="I33" s="74" t="s">
        <v>35</v>
      </c>
      <c r="J33" s="74" t="s">
        <v>35</v>
      </c>
      <c r="K33" s="74" t="s">
        <v>35</v>
      </c>
      <c r="L33" s="74" t="s">
        <v>35</v>
      </c>
      <c r="M33" s="74" t="s">
        <v>35</v>
      </c>
    </row>
    <row r="34" spans="1:13">
      <c r="A34" s="62" t="s">
        <v>405</v>
      </c>
      <c r="B34" s="72">
        <v>-2172</v>
      </c>
      <c r="C34" s="72">
        <v>-4232</v>
      </c>
      <c r="D34" s="72">
        <v>417</v>
      </c>
      <c r="E34" s="72">
        <v>527</v>
      </c>
      <c r="F34" s="72">
        <v>-2093</v>
      </c>
      <c r="G34" s="72">
        <v>-5322</v>
      </c>
      <c r="H34" s="72">
        <v>245</v>
      </c>
      <c r="I34" s="72">
        <v>6917</v>
      </c>
      <c r="J34" s="72">
        <v>-10125</v>
      </c>
      <c r="K34" s="72">
        <v>-1823</v>
      </c>
      <c r="L34" s="72">
        <v>-1688</v>
      </c>
      <c r="M34" s="72">
        <v>592</v>
      </c>
    </row>
    <row r="35" spans="1:13" ht="17">
      <c r="A35" s="73" t="s">
        <v>406</v>
      </c>
      <c r="B35" s="74">
        <v>-2172</v>
      </c>
      <c r="C35" s="74">
        <v>-4232</v>
      </c>
      <c r="D35" s="74">
        <v>417</v>
      </c>
      <c r="E35" s="74">
        <v>527</v>
      </c>
      <c r="F35" s="74">
        <v>-2093</v>
      </c>
      <c r="G35" s="74">
        <v>-5322</v>
      </c>
      <c r="H35" s="74">
        <v>245</v>
      </c>
      <c r="I35" s="74">
        <v>6917</v>
      </c>
      <c r="J35" s="74">
        <v>-10125</v>
      </c>
      <c r="K35" s="74">
        <v>-1823</v>
      </c>
      <c r="L35" s="74">
        <v>-1688</v>
      </c>
      <c r="M35" s="74" t="s">
        <v>35</v>
      </c>
    </row>
    <row r="36" spans="1:13">
      <c r="A36" s="62" t="s">
        <v>407</v>
      </c>
      <c r="B36" s="72">
        <v>-973</v>
      </c>
      <c r="C36" s="72">
        <v>-76</v>
      </c>
      <c r="D36" s="72">
        <v>-238</v>
      </c>
      <c r="E36" s="72">
        <v>217</v>
      </c>
      <c r="F36" s="72">
        <v>-2723</v>
      </c>
      <c r="G36" s="72">
        <v>828</v>
      </c>
      <c r="H36" s="72">
        <v>-289</v>
      </c>
      <c r="I36" s="72">
        <v>-127</v>
      </c>
      <c r="J36" s="72">
        <v>-2642</v>
      </c>
      <c r="K36" s="72">
        <v>1484</v>
      </c>
      <c r="L36" s="72">
        <v>-1618</v>
      </c>
      <c r="M36" s="72">
        <v>52</v>
      </c>
    </row>
    <row r="37" spans="1:13" ht="17">
      <c r="A37" s="73" t="s">
        <v>247</v>
      </c>
      <c r="B37" s="74">
        <v>-973</v>
      </c>
      <c r="C37" s="74">
        <v>-76</v>
      </c>
      <c r="D37" s="74">
        <v>-238</v>
      </c>
      <c r="E37" s="74">
        <v>217</v>
      </c>
      <c r="F37" s="74">
        <v>-2723</v>
      </c>
      <c r="G37" s="74">
        <v>828</v>
      </c>
      <c r="H37" s="74">
        <v>-289</v>
      </c>
      <c r="I37" s="74">
        <v>-127</v>
      </c>
      <c r="J37" s="74">
        <v>-2642</v>
      </c>
      <c r="K37" s="74">
        <v>1484</v>
      </c>
      <c r="L37" s="74">
        <v>-1618</v>
      </c>
      <c r="M37" s="74" t="s">
        <v>35</v>
      </c>
    </row>
    <row r="38" spans="1:13">
      <c r="A38" s="62" t="s">
        <v>408</v>
      </c>
      <c r="B38" s="72">
        <v>2340</v>
      </c>
      <c r="C38" s="72">
        <v>5938</v>
      </c>
      <c r="D38" s="72">
        <v>5001</v>
      </c>
      <c r="E38" s="72">
        <v>2117</v>
      </c>
      <c r="F38" s="72">
        <v>8966</v>
      </c>
      <c r="G38" s="72">
        <v>9175</v>
      </c>
      <c r="H38" s="72">
        <v>-1923</v>
      </c>
      <c r="I38" s="72">
        <v>-4062</v>
      </c>
      <c r="J38" s="72">
        <v>12326</v>
      </c>
      <c r="K38" s="72">
        <v>9448</v>
      </c>
      <c r="L38" s="72">
        <v>-1889</v>
      </c>
      <c r="M38" s="72">
        <v>-356</v>
      </c>
    </row>
    <row r="39" spans="1:13" ht="17">
      <c r="A39" s="73" t="s">
        <v>288</v>
      </c>
      <c r="B39" s="74">
        <v>2340</v>
      </c>
      <c r="C39" s="74">
        <v>5938</v>
      </c>
      <c r="D39" s="74">
        <v>5001</v>
      </c>
      <c r="E39" s="74">
        <v>2117</v>
      </c>
      <c r="F39" s="74">
        <v>8966</v>
      </c>
      <c r="G39" s="74">
        <v>9175</v>
      </c>
      <c r="H39" s="74">
        <v>-1923</v>
      </c>
      <c r="I39" s="74">
        <v>-4062</v>
      </c>
      <c r="J39" s="74">
        <v>12326</v>
      </c>
      <c r="K39" s="74">
        <v>9448</v>
      </c>
      <c r="L39" s="74">
        <v>-1889</v>
      </c>
      <c r="M39" s="74" t="s">
        <v>35</v>
      </c>
    </row>
    <row r="40" spans="1:13" ht="17">
      <c r="A40" s="62" t="s">
        <v>409</v>
      </c>
      <c r="B40" s="72">
        <v>1459</v>
      </c>
      <c r="C40" s="72">
        <v>1460</v>
      </c>
      <c r="D40" s="72">
        <v>1042</v>
      </c>
      <c r="E40" s="72">
        <v>-1554</v>
      </c>
      <c r="F40" s="72">
        <v>-593</v>
      </c>
      <c r="G40" s="72">
        <v>-3</v>
      </c>
      <c r="H40" s="72">
        <v>-625</v>
      </c>
      <c r="I40" s="72">
        <v>2081</v>
      </c>
      <c r="J40" s="72" t="s">
        <v>35</v>
      </c>
      <c r="K40" s="72" t="s">
        <v>35</v>
      </c>
      <c r="L40" s="72" t="s">
        <v>35</v>
      </c>
      <c r="M40" s="72" t="s">
        <v>35</v>
      </c>
    </row>
    <row r="41" spans="1:13" ht="17">
      <c r="A41" s="73" t="s">
        <v>312</v>
      </c>
      <c r="B41" s="74">
        <v>1459</v>
      </c>
      <c r="C41" s="74">
        <v>1460</v>
      </c>
      <c r="D41" s="74">
        <v>1042</v>
      </c>
      <c r="E41" s="74">
        <v>-1554</v>
      </c>
      <c r="F41" s="74">
        <v>-593</v>
      </c>
      <c r="G41" s="74">
        <v>-3</v>
      </c>
      <c r="H41" s="74">
        <v>-625</v>
      </c>
      <c r="I41" s="74">
        <v>2081</v>
      </c>
      <c r="J41" s="74" t="s">
        <v>35</v>
      </c>
      <c r="K41" s="74" t="s">
        <v>35</v>
      </c>
      <c r="L41" s="74" t="s">
        <v>35</v>
      </c>
      <c r="M41" s="74" t="s">
        <v>35</v>
      </c>
    </row>
    <row r="42" spans="1:13">
      <c r="A42" s="62" t="s">
        <v>410</v>
      </c>
      <c r="B42" s="72">
        <v>5824</v>
      </c>
      <c r="C42" s="72">
        <v>3957</v>
      </c>
      <c r="D42" s="72">
        <v>5040</v>
      </c>
      <c r="E42" s="72">
        <v>-902</v>
      </c>
      <c r="F42" s="72">
        <v>-8480</v>
      </c>
      <c r="G42" s="72">
        <v>30016</v>
      </c>
      <c r="H42" s="72">
        <v>-896</v>
      </c>
      <c r="I42" s="72">
        <v>881</v>
      </c>
      <c r="J42" s="72">
        <v>-4470</v>
      </c>
      <c r="K42" s="72">
        <v>-7909</v>
      </c>
      <c r="L42" s="72">
        <v>-1382</v>
      </c>
      <c r="M42" s="72">
        <v>-4245</v>
      </c>
    </row>
    <row r="43" spans="1:13" ht="17">
      <c r="A43" s="73" t="s">
        <v>411</v>
      </c>
      <c r="B43" s="74">
        <v>1080</v>
      </c>
      <c r="C43" s="74">
        <v>167</v>
      </c>
      <c r="D43" s="74">
        <v>-283</v>
      </c>
      <c r="E43" s="74">
        <v>1055</v>
      </c>
      <c r="F43" s="74">
        <v>-5318</v>
      </c>
      <c r="G43" s="74">
        <v>-423</v>
      </c>
      <c r="H43" s="74">
        <v>873</v>
      </c>
      <c r="I43" s="74">
        <v>-9588</v>
      </c>
      <c r="J43" s="74">
        <v>-8042</v>
      </c>
      <c r="K43" s="74">
        <v>-6499</v>
      </c>
      <c r="L43" s="74">
        <v>-5684</v>
      </c>
      <c r="M43" s="74" t="s">
        <v>35</v>
      </c>
    </row>
    <row r="44" spans="1:13" ht="17">
      <c r="A44" s="73" t="s">
        <v>412</v>
      </c>
      <c r="B44" s="74">
        <v>4521</v>
      </c>
      <c r="C44" s="74">
        <v>6010</v>
      </c>
      <c r="D44" s="74">
        <v>9058</v>
      </c>
      <c r="E44" s="74">
        <v>-1906</v>
      </c>
      <c r="F44" s="74">
        <v>1092</v>
      </c>
      <c r="G44" s="74">
        <v>38449</v>
      </c>
      <c r="H44" s="74">
        <v>-4700</v>
      </c>
      <c r="I44" s="74">
        <v>8916</v>
      </c>
      <c r="J44" s="74">
        <v>7475</v>
      </c>
      <c r="K44" s="74">
        <v>6110</v>
      </c>
      <c r="L44" s="74">
        <v>3031</v>
      </c>
      <c r="M44" s="74" t="s">
        <v>35</v>
      </c>
    </row>
    <row r="45" spans="1:13" ht="17">
      <c r="A45" s="73" t="s">
        <v>413</v>
      </c>
      <c r="B45" s="74">
        <v>223</v>
      </c>
      <c r="C45" s="74">
        <v>-2220</v>
      </c>
      <c r="D45" s="74">
        <v>-3735</v>
      </c>
      <c r="E45" s="74">
        <v>-51</v>
      </c>
      <c r="F45" s="74">
        <v>-4254</v>
      </c>
      <c r="G45" s="74">
        <v>-8010</v>
      </c>
      <c r="H45" s="74">
        <v>2931</v>
      </c>
      <c r="I45" s="74">
        <v>1553</v>
      </c>
      <c r="J45" s="74">
        <v>-3903</v>
      </c>
      <c r="K45" s="74">
        <v>-7520</v>
      </c>
      <c r="L45" s="74">
        <v>1271</v>
      </c>
      <c r="M45" s="74" t="s">
        <v>35</v>
      </c>
    </row>
    <row r="46" spans="1:13">
      <c r="A46" s="71" t="s">
        <v>414</v>
      </c>
      <c r="B46" s="75">
        <v>53666</v>
      </c>
      <c r="C46" s="75">
        <v>59713</v>
      </c>
      <c r="D46" s="75">
        <v>81266</v>
      </c>
      <c r="E46" s="75">
        <v>66231</v>
      </c>
      <c r="F46" s="75">
        <v>64225</v>
      </c>
      <c r="G46" s="75">
        <v>77434</v>
      </c>
      <c r="H46" s="75">
        <v>69391</v>
      </c>
      <c r="I46" s="75">
        <v>80674</v>
      </c>
      <c r="J46" s="75">
        <v>104038</v>
      </c>
      <c r="K46" s="75">
        <v>122151</v>
      </c>
      <c r="L46" s="75">
        <v>110543</v>
      </c>
      <c r="M46" s="75">
        <v>116433</v>
      </c>
    </row>
    <row r="47" spans="1:13">
      <c r="A47" s="62"/>
      <c r="B47" s="62"/>
      <c r="C47" s="62"/>
      <c r="D47" s="62"/>
      <c r="E47" s="62"/>
      <c r="F47" s="62"/>
      <c r="G47" s="62"/>
      <c r="H47" s="62"/>
      <c r="I47" s="62"/>
      <c r="J47" s="62"/>
      <c r="K47" s="62"/>
      <c r="L47" s="62"/>
      <c r="M47" s="62"/>
    </row>
    <row r="48" spans="1:13">
      <c r="A48" s="62" t="s">
        <v>415</v>
      </c>
      <c r="B48" s="72">
        <v>-8165</v>
      </c>
      <c r="C48" s="72">
        <v>-9571</v>
      </c>
      <c r="D48" s="72">
        <v>-11247</v>
      </c>
      <c r="E48" s="72">
        <v>-12734</v>
      </c>
      <c r="F48" s="72">
        <v>-12451</v>
      </c>
      <c r="G48" s="72">
        <v>-13313</v>
      </c>
      <c r="H48" s="72">
        <v>-10495</v>
      </c>
      <c r="I48" s="72">
        <v>-7309</v>
      </c>
      <c r="J48" s="72">
        <v>-11085</v>
      </c>
      <c r="K48" s="72">
        <v>-10708</v>
      </c>
      <c r="L48" s="72">
        <v>-10959</v>
      </c>
      <c r="M48" s="72">
        <v>-9564</v>
      </c>
    </row>
    <row r="49" spans="1:13" ht="17">
      <c r="A49" s="73" t="s">
        <v>416</v>
      </c>
      <c r="B49" s="74">
        <v>-8165</v>
      </c>
      <c r="C49" s="74">
        <v>-9571</v>
      </c>
      <c r="D49" s="74">
        <v>-11247</v>
      </c>
      <c r="E49" s="74">
        <v>-12734</v>
      </c>
      <c r="F49" s="74">
        <v>-12451</v>
      </c>
      <c r="G49" s="74">
        <v>-13313</v>
      </c>
      <c r="H49" s="74">
        <v>-10495</v>
      </c>
      <c r="I49" s="74">
        <v>-7309</v>
      </c>
      <c r="J49" s="74">
        <v>-11085</v>
      </c>
      <c r="K49" s="74">
        <v>-10708</v>
      </c>
      <c r="L49" s="74">
        <v>-10959</v>
      </c>
      <c r="M49" s="74" t="s">
        <v>35</v>
      </c>
    </row>
    <row r="50" spans="1:13" ht="17">
      <c r="A50" s="62" t="s">
        <v>417</v>
      </c>
      <c r="B50" s="72">
        <v>-496</v>
      </c>
      <c r="C50" s="72">
        <v>-3765</v>
      </c>
      <c r="D50" s="72">
        <v>-343</v>
      </c>
      <c r="E50" s="72">
        <v>-297</v>
      </c>
      <c r="F50" s="72">
        <v>-329</v>
      </c>
      <c r="G50" s="72">
        <v>-721</v>
      </c>
      <c r="H50" s="72">
        <v>-624</v>
      </c>
      <c r="I50" s="72">
        <v>-1524</v>
      </c>
      <c r="J50" s="72" t="s">
        <v>35</v>
      </c>
      <c r="K50" s="72" t="s">
        <v>35</v>
      </c>
      <c r="L50" s="72" t="s">
        <v>35</v>
      </c>
      <c r="M50" s="72" t="s">
        <v>35</v>
      </c>
    </row>
    <row r="51" spans="1:13" ht="17">
      <c r="A51" s="73" t="s">
        <v>418</v>
      </c>
      <c r="B51" s="74">
        <v>-496</v>
      </c>
      <c r="C51" s="74">
        <v>-3765</v>
      </c>
      <c r="D51" s="74">
        <v>-343</v>
      </c>
      <c r="E51" s="74">
        <v>-297</v>
      </c>
      <c r="F51" s="74">
        <v>-329</v>
      </c>
      <c r="G51" s="74">
        <v>-721</v>
      </c>
      <c r="H51" s="74">
        <v>-624</v>
      </c>
      <c r="I51" s="74">
        <v>-1524</v>
      </c>
      <c r="J51" s="74" t="s">
        <v>35</v>
      </c>
      <c r="K51" s="74" t="s">
        <v>35</v>
      </c>
      <c r="L51" s="74" t="s">
        <v>35</v>
      </c>
      <c r="M51" s="74" t="s">
        <v>35</v>
      </c>
    </row>
    <row r="52" spans="1:13" ht="17">
      <c r="A52" s="62" t="s">
        <v>419</v>
      </c>
      <c r="B52" s="72" t="s">
        <v>35</v>
      </c>
      <c r="C52" s="72" t="s">
        <v>35</v>
      </c>
      <c r="D52" s="72" t="s">
        <v>35</v>
      </c>
      <c r="E52" s="72" t="s">
        <v>35</v>
      </c>
      <c r="F52" s="72" t="s">
        <v>35</v>
      </c>
      <c r="G52" s="72" t="s">
        <v>35</v>
      </c>
      <c r="H52" s="72" t="s">
        <v>35</v>
      </c>
      <c r="I52" s="72" t="s">
        <v>35</v>
      </c>
      <c r="J52" s="72" t="s">
        <v>35</v>
      </c>
      <c r="K52" s="72" t="s">
        <v>35</v>
      </c>
      <c r="L52" s="72" t="s">
        <v>35</v>
      </c>
      <c r="M52" s="72" t="s">
        <v>35</v>
      </c>
    </row>
    <row r="53" spans="1:13" ht="17">
      <c r="A53" s="62" t="s">
        <v>420</v>
      </c>
      <c r="B53" s="72">
        <v>-911</v>
      </c>
      <c r="C53" s="72">
        <v>-242</v>
      </c>
      <c r="D53" s="72">
        <v>-241</v>
      </c>
      <c r="E53" s="72" t="s">
        <v>35</v>
      </c>
      <c r="F53" s="72" t="s">
        <v>35</v>
      </c>
      <c r="G53" s="72" t="s">
        <v>35</v>
      </c>
      <c r="H53" s="72" t="s">
        <v>35</v>
      </c>
      <c r="I53" s="72" t="s">
        <v>35</v>
      </c>
      <c r="J53" s="72" t="s">
        <v>35</v>
      </c>
      <c r="K53" s="72" t="s">
        <v>35</v>
      </c>
      <c r="L53" s="72" t="s">
        <v>35</v>
      </c>
      <c r="M53" s="72" t="s">
        <v>35</v>
      </c>
    </row>
    <row r="54" spans="1:13" ht="17">
      <c r="A54" s="73" t="s">
        <v>421</v>
      </c>
      <c r="B54" s="74">
        <v>-911</v>
      </c>
      <c r="C54" s="74">
        <v>-242</v>
      </c>
      <c r="D54" s="74">
        <v>-241</v>
      </c>
      <c r="E54" s="74" t="s">
        <v>35</v>
      </c>
      <c r="F54" s="74" t="s">
        <v>35</v>
      </c>
      <c r="G54" s="74" t="s">
        <v>35</v>
      </c>
      <c r="H54" s="74" t="s">
        <v>35</v>
      </c>
      <c r="I54" s="74" t="s">
        <v>35</v>
      </c>
      <c r="J54" s="74" t="s">
        <v>35</v>
      </c>
      <c r="K54" s="74" t="s">
        <v>35</v>
      </c>
      <c r="L54" s="74" t="s">
        <v>35</v>
      </c>
      <c r="M54" s="74" t="s">
        <v>35</v>
      </c>
    </row>
    <row r="55" spans="1:13">
      <c r="A55" s="62" t="s">
        <v>422</v>
      </c>
      <c r="B55" s="72">
        <v>-24042</v>
      </c>
      <c r="C55" s="72">
        <v>-9027</v>
      </c>
      <c r="D55" s="72">
        <v>-44417</v>
      </c>
      <c r="E55" s="72">
        <v>-32022</v>
      </c>
      <c r="F55" s="72">
        <v>-33542</v>
      </c>
      <c r="G55" s="72">
        <v>30845</v>
      </c>
      <c r="H55" s="72">
        <v>58093</v>
      </c>
      <c r="I55" s="72">
        <v>5453</v>
      </c>
      <c r="J55" s="72">
        <v>-3075</v>
      </c>
      <c r="K55" s="72">
        <v>-9560</v>
      </c>
      <c r="L55" s="72">
        <v>16001</v>
      </c>
      <c r="M55" s="72">
        <v>18121</v>
      </c>
    </row>
    <row r="56" spans="1:13" ht="17">
      <c r="A56" s="73" t="s">
        <v>423</v>
      </c>
      <c r="B56" s="74">
        <v>104130</v>
      </c>
      <c r="C56" s="74">
        <v>189301</v>
      </c>
      <c r="D56" s="74">
        <v>107447</v>
      </c>
      <c r="E56" s="74">
        <v>90536</v>
      </c>
      <c r="F56" s="74">
        <v>94564</v>
      </c>
      <c r="G56" s="74">
        <v>47838</v>
      </c>
      <c r="H56" s="74">
        <v>56988</v>
      </c>
      <c r="I56" s="74">
        <v>50473</v>
      </c>
      <c r="J56" s="74">
        <v>47460</v>
      </c>
      <c r="K56" s="74">
        <v>37446</v>
      </c>
      <c r="L56" s="74">
        <v>5828</v>
      </c>
      <c r="M56" s="74" t="s">
        <v>35</v>
      </c>
    </row>
    <row r="57" spans="1:13" ht="17">
      <c r="A57" s="73" t="s">
        <v>424</v>
      </c>
      <c r="B57" s="74" t="s">
        <v>35</v>
      </c>
      <c r="C57" s="74" t="s">
        <v>35</v>
      </c>
      <c r="D57" s="74" t="s">
        <v>35</v>
      </c>
      <c r="E57" s="74">
        <v>-1388</v>
      </c>
      <c r="F57" s="74">
        <v>-521</v>
      </c>
      <c r="G57" s="74">
        <v>-1871</v>
      </c>
      <c r="H57" s="74">
        <v>-1001</v>
      </c>
      <c r="I57" s="74" t="s">
        <v>35</v>
      </c>
      <c r="J57" s="74" t="s">
        <v>35</v>
      </c>
      <c r="K57" s="74" t="s">
        <v>35</v>
      </c>
      <c r="L57" s="74" t="s">
        <v>35</v>
      </c>
      <c r="M57" s="74" t="s">
        <v>35</v>
      </c>
    </row>
    <row r="58" spans="1:13" ht="17">
      <c r="A58" s="73" t="s">
        <v>425</v>
      </c>
      <c r="B58" s="74">
        <v>-148489</v>
      </c>
      <c r="C58" s="74">
        <v>-217128</v>
      </c>
      <c r="D58" s="74">
        <v>-166402</v>
      </c>
      <c r="E58" s="74">
        <v>-142428</v>
      </c>
      <c r="F58" s="74">
        <v>-159486</v>
      </c>
      <c r="G58" s="74">
        <v>-71356</v>
      </c>
      <c r="H58" s="74">
        <v>-39630</v>
      </c>
      <c r="I58" s="74">
        <v>-114938</v>
      </c>
      <c r="J58" s="74">
        <v>-109558</v>
      </c>
      <c r="K58" s="74">
        <v>-76923</v>
      </c>
      <c r="L58" s="74">
        <v>-29513</v>
      </c>
      <c r="M58" s="74" t="s">
        <v>35</v>
      </c>
    </row>
    <row r="59" spans="1:13" ht="17">
      <c r="A59" s="73" t="s">
        <v>426</v>
      </c>
      <c r="B59" s="74">
        <v>20317</v>
      </c>
      <c r="C59" s="74">
        <v>18810</v>
      </c>
      <c r="D59" s="74">
        <v>14538</v>
      </c>
      <c r="E59" s="74">
        <v>21258</v>
      </c>
      <c r="F59" s="74">
        <v>31775</v>
      </c>
      <c r="G59" s="74">
        <v>55881</v>
      </c>
      <c r="H59" s="74">
        <v>40102</v>
      </c>
      <c r="I59" s="74">
        <v>69918</v>
      </c>
      <c r="J59" s="74">
        <v>59023</v>
      </c>
      <c r="K59" s="74">
        <v>29917</v>
      </c>
      <c r="L59" s="74">
        <v>39686</v>
      </c>
      <c r="M59" s="74" t="s">
        <v>35</v>
      </c>
    </row>
    <row r="60" spans="1:13" ht="17">
      <c r="A60" s="73" t="s">
        <v>427</v>
      </c>
      <c r="B60" s="74" t="s">
        <v>35</v>
      </c>
      <c r="C60" s="74" t="s">
        <v>35</v>
      </c>
      <c r="D60" s="74" t="s">
        <v>35</v>
      </c>
      <c r="E60" s="74" t="s">
        <v>35</v>
      </c>
      <c r="F60" s="74">
        <v>126</v>
      </c>
      <c r="G60" s="74">
        <v>353</v>
      </c>
      <c r="H60" s="74">
        <v>1634</v>
      </c>
      <c r="I60" s="74" t="s">
        <v>35</v>
      </c>
      <c r="J60" s="74" t="s">
        <v>35</v>
      </c>
      <c r="K60" s="74" t="s">
        <v>35</v>
      </c>
      <c r="L60" s="74" t="s">
        <v>35</v>
      </c>
      <c r="M60" s="74" t="s">
        <v>35</v>
      </c>
    </row>
    <row r="61" spans="1:13" ht="17">
      <c r="A61" s="73" t="s">
        <v>428</v>
      </c>
      <c r="B61" s="74" t="s">
        <v>35</v>
      </c>
      <c r="C61" s="74">
        <v>-10</v>
      </c>
      <c r="D61" s="74" t="s">
        <v>35</v>
      </c>
      <c r="E61" s="74" t="s">
        <v>35</v>
      </c>
      <c r="F61" s="74" t="s">
        <v>35</v>
      </c>
      <c r="G61" s="74" t="s">
        <v>35</v>
      </c>
      <c r="H61" s="74" t="s">
        <v>35</v>
      </c>
      <c r="I61" s="74" t="s">
        <v>35</v>
      </c>
      <c r="J61" s="74" t="s">
        <v>35</v>
      </c>
      <c r="K61" s="74" t="s">
        <v>35</v>
      </c>
      <c r="L61" s="74" t="s">
        <v>35</v>
      </c>
      <c r="M61" s="74" t="s">
        <v>35</v>
      </c>
    </row>
    <row r="62" spans="1:13" ht="17">
      <c r="A62" s="62" t="s">
        <v>429</v>
      </c>
      <c r="B62" s="72" t="s">
        <v>35</v>
      </c>
      <c r="C62" s="72" t="s">
        <v>35</v>
      </c>
      <c r="D62" s="72" t="s">
        <v>35</v>
      </c>
      <c r="E62" s="72" t="s">
        <v>35</v>
      </c>
      <c r="F62" s="72" t="s">
        <v>35</v>
      </c>
      <c r="G62" s="72" t="s">
        <v>35</v>
      </c>
      <c r="H62" s="72" t="s">
        <v>35</v>
      </c>
      <c r="I62" s="72" t="s">
        <v>35</v>
      </c>
      <c r="J62" s="72" t="s">
        <v>35</v>
      </c>
      <c r="K62" s="72" t="s">
        <v>35</v>
      </c>
      <c r="L62" s="72" t="s">
        <v>35</v>
      </c>
      <c r="M62" s="72" t="s">
        <v>35</v>
      </c>
    </row>
    <row r="63" spans="1:13">
      <c r="A63" s="62" t="s">
        <v>430</v>
      </c>
      <c r="B63" s="72">
        <v>-160</v>
      </c>
      <c r="C63" s="72">
        <v>26</v>
      </c>
      <c r="D63" s="72">
        <v>-26</v>
      </c>
      <c r="E63" s="72">
        <v>-924</v>
      </c>
      <c r="F63" s="72">
        <v>-124</v>
      </c>
      <c r="G63" s="72">
        <v>-745</v>
      </c>
      <c r="H63" s="72">
        <v>-1078</v>
      </c>
      <c r="I63" s="72">
        <v>-909</v>
      </c>
      <c r="J63" s="72">
        <v>-385</v>
      </c>
      <c r="K63" s="72">
        <v>-2086</v>
      </c>
      <c r="L63" s="72">
        <v>-1337</v>
      </c>
      <c r="M63" s="72">
        <v>-1480</v>
      </c>
    </row>
    <row r="64" spans="1:13" ht="17">
      <c r="A64" s="73" t="s">
        <v>402</v>
      </c>
      <c r="B64" s="74">
        <v>-160</v>
      </c>
      <c r="C64" s="74">
        <v>26</v>
      </c>
      <c r="D64" s="74">
        <v>-26</v>
      </c>
      <c r="E64" s="74">
        <v>-924</v>
      </c>
      <c r="F64" s="74">
        <v>-124</v>
      </c>
      <c r="G64" s="74">
        <v>-745</v>
      </c>
      <c r="H64" s="74">
        <v>-1078</v>
      </c>
      <c r="I64" s="74">
        <v>-909</v>
      </c>
      <c r="J64" s="74">
        <v>-385</v>
      </c>
      <c r="K64" s="74">
        <v>-2086</v>
      </c>
      <c r="L64" s="74">
        <v>-1337</v>
      </c>
      <c r="M64" s="74" t="s">
        <v>35</v>
      </c>
    </row>
    <row r="65" spans="1:13">
      <c r="A65" s="71" t="s">
        <v>431</v>
      </c>
      <c r="B65" s="75">
        <v>-33774</v>
      </c>
      <c r="C65" s="75">
        <v>-22579</v>
      </c>
      <c r="D65" s="75">
        <v>-56274</v>
      </c>
      <c r="E65" s="75">
        <v>-45977</v>
      </c>
      <c r="F65" s="75">
        <v>-46446</v>
      </c>
      <c r="G65" s="75">
        <v>16066</v>
      </c>
      <c r="H65" s="75">
        <v>45896</v>
      </c>
      <c r="I65" s="75">
        <v>-4289</v>
      </c>
      <c r="J65" s="75">
        <v>-14545</v>
      </c>
      <c r="K65" s="75">
        <v>-22354</v>
      </c>
      <c r="L65" s="75">
        <v>3705</v>
      </c>
      <c r="M65" s="75">
        <v>7077</v>
      </c>
    </row>
    <row r="66" spans="1:13">
      <c r="A66" s="62"/>
      <c r="B66" s="62"/>
      <c r="C66" s="62"/>
      <c r="D66" s="62"/>
      <c r="E66" s="62"/>
      <c r="F66" s="62"/>
      <c r="G66" s="62"/>
      <c r="H66" s="62"/>
      <c r="I66" s="62"/>
      <c r="J66" s="62"/>
      <c r="K66" s="62"/>
      <c r="L66" s="62"/>
      <c r="M66" s="62"/>
    </row>
    <row r="67" spans="1:13" ht="17">
      <c r="A67" s="62" t="s">
        <v>432</v>
      </c>
      <c r="B67" s="72" t="s">
        <v>35</v>
      </c>
      <c r="C67" s="72">
        <v>6306</v>
      </c>
      <c r="D67" s="72">
        <v>2191</v>
      </c>
      <c r="E67" s="72" t="s">
        <v>35</v>
      </c>
      <c r="F67" s="72">
        <v>3852</v>
      </c>
      <c r="G67" s="72" t="s">
        <v>35</v>
      </c>
      <c r="H67" s="72" t="s">
        <v>35</v>
      </c>
      <c r="I67" s="72" t="s">
        <v>35</v>
      </c>
      <c r="J67" s="72">
        <v>1022</v>
      </c>
      <c r="K67" s="72">
        <v>3955</v>
      </c>
      <c r="L67" s="72" t="s">
        <v>35</v>
      </c>
      <c r="M67" s="72" t="s">
        <v>35</v>
      </c>
    </row>
    <row r="68" spans="1:13" ht="17">
      <c r="A68" s="73" t="s">
        <v>433</v>
      </c>
      <c r="B68" s="74" t="s">
        <v>35</v>
      </c>
      <c r="C68" s="74">
        <v>6306</v>
      </c>
      <c r="D68" s="74">
        <v>2191</v>
      </c>
      <c r="E68" s="74" t="s">
        <v>35</v>
      </c>
      <c r="F68" s="74">
        <v>3852</v>
      </c>
      <c r="G68" s="74" t="s">
        <v>35</v>
      </c>
      <c r="H68" s="74" t="s">
        <v>35</v>
      </c>
      <c r="I68" s="74" t="s">
        <v>35</v>
      </c>
      <c r="J68" s="74">
        <v>1022</v>
      </c>
      <c r="K68" s="74">
        <v>3955</v>
      </c>
      <c r="L68" s="74" t="s">
        <v>35</v>
      </c>
      <c r="M68" s="74" t="s">
        <v>35</v>
      </c>
    </row>
    <row r="69" spans="1:13" ht="17">
      <c r="A69" s="62" t="s">
        <v>434</v>
      </c>
      <c r="B69" s="72">
        <v>16896</v>
      </c>
      <c r="C69" s="72">
        <v>11960</v>
      </c>
      <c r="D69" s="72">
        <v>27114</v>
      </c>
      <c r="E69" s="72">
        <v>24954</v>
      </c>
      <c r="F69" s="72">
        <v>28662</v>
      </c>
      <c r="G69" s="72">
        <v>6969</v>
      </c>
      <c r="H69" s="72">
        <v>6963</v>
      </c>
      <c r="I69" s="72">
        <v>16091</v>
      </c>
      <c r="J69" s="72">
        <v>20393</v>
      </c>
      <c r="K69" s="72">
        <v>5465</v>
      </c>
      <c r="L69" s="72">
        <v>5228</v>
      </c>
      <c r="M69" s="72" t="s">
        <v>35</v>
      </c>
    </row>
    <row r="70" spans="1:13" ht="17">
      <c r="A70" s="73" t="s">
        <v>435</v>
      </c>
      <c r="B70" s="74">
        <v>16896</v>
      </c>
      <c r="C70" s="74">
        <v>11960</v>
      </c>
      <c r="D70" s="74">
        <v>27114</v>
      </c>
      <c r="E70" s="74">
        <v>24954</v>
      </c>
      <c r="F70" s="74">
        <v>28662</v>
      </c>
      <c r="G70" s="74">
        <v>6969</v>
      </c>
      <c r="H70" s="74">
        <v>6963</v>
      </c>
      <c r="I70" s="74">
        <v>16091</v>
      </c>
      <c r="J70" s="74">
        <v>20393</v>
      </c>
      <c r="K70" s="74">
        <v>5465</v>
      </c>
      <c r="L70" s="74">
        <v>5228</v>
      </c>
      <c r="M70" s="74" t="s">
        <v>35</v>
      </c>
    </row>
    <row r="71" spans="1:13">
      <c r="A71" s="71" t="s">
        <v>436</v>
      </c>
      <c r="B71" s="75">
        <v>16896</v>
      </c>
      <c r="C71" s="75">
        <v>18266</v>
      </c>
      <c r="D71" s="75">
        <v>29305</v>
      </c>
      <c r="E71" s="75">
        <v>24954</v>
      </c>
      <c r="F71" s="75">
        <v>32514</v>
      </c>
      <c r="G71" s="75">
        <v>6969</v>
      </c>
      <c r="H71" s="75">
        <v>6963</v>
      </c>
      <c r="I71" s="75">
        <v>16091</v>
      </c>
      <c r="J71" s="75">
        <v>21415</v>
      </c>
      <c r="K71" s="75">
        <v>9420</v>
      </c>
      <c r="L71" s="75">
        <v>5228</v>
      </c>
      <c r="M71" s="75">
        <v>5228</v>
      </c>
    </row>
    <row r="72" spans="1:13" ht="17">
      <c r="A72" s="62" t="s">
        <v>437</v>
      </c>
      <c r="B72" s="72" t="s">
        <v>35</v>
      </c>
      <c r="C72" s="72" t="s">
        <v>35</v>
      </c>
      <c r="D72" s="72" t="s">
        <v>35</v>
      </c>
      <c r="E72" s="72">
        <v>-397</v>
      </c>
      <c r="F72" s="72" t="s">
        <v>35</v>
      </c>
      <c r="G72" s="72">
        <v>-37</v>
      </c>
      <c r="H72" s="72">
        <v>-5977</v>
      </c>
      <c r="I72" s="72">
        <v>-963</v>
      </c>
      <c r="J72" s="72" t="s">
        <v>35</v>
      </c>
      <c r="K72" s="72" t="s">
        <v>35</v>
      </c>
      <c r="L72" s="72">
        <v>-3978</v>
      </c>
      <c r="M72" s="72" t="s">
        <v>35</v>
      </c>
    </row>
    <row r="73" spans="1:13" ht="17">
      <c r="A73" s="73" t="s">
        <v>433</v>
      </c>
      <c r="B73" s="74" t="s">
        <v>35</v>
      </c>
      <c r="C73" s="74" t="s">
        <v>35</v>
      </c>
      <c r="D73" s="74" t="s">
        <v>35</v>
      </c>
      <c r="E73" s="74">
        <v>-397</v>
      </c>
      <c r="F73" s="74" t="s">
        <v>35</v>
      </c>
      <c r="G73" s="74">
        <v>-37</v>
      </c>
      <c r="H73" s="74">
        <v>-5977</v>
      </c>
      <c r="I73" s="74">
        <v>-963</v>
      </c>
      <c r="J73" s="74" t="s">
        <v>35</v>
      </c>
      <c r="K73" s="74" t="s">
        <v>35</v>
      </c>
      <c r="L73" s="74">
        <v>-3978</v>
      </c>
      <c r="M73" s="74" t="s">
        <v>35</v>
      </c>
    </row>
    <row r="74" spans="1:13" ht="17">
      <c r="A74" s="62" t="s">
        <v>438</v>
      </c>
      <c r="B74" s="72" t="s">
        <v>35</v>
      </c>
      <c r="C74" s="72" t="s">
        <v>35</v>
      </c>
      <c r="D74" s="72" t="s">
        <v>35</v>
      </c>
      <c r="E74" s="72">
        <v>-2500</v>
      </c>
      <c r="F74" s="72">
        <v>-3500</v>
      </c>
      <c r="G74" s="72">
        <v>-6500</v>
      </c>
      <c r="H74" s="72">
        <v>-8805</v>
      </c>
      <c r="I74" s="72">
        <v>-12629</v>
      </c>
      <c r="J74" s="72">
        <v>-8750</v>
      </c>
      <c r="K74" s="72">
        <v>-9543</v>
      </c>
      <c r="L74" s="72">
        <v>-11151</v>
      </c>
      <c r="M74" s="72" t="s">
        <v>35</v>
      </c>
    </row>
    <row r="75" spans="1:13" ht="17">
      <c r="A75" s="73" t="s">
        <v>439</v>
      </c>
      <c r="B75" s="74" t="s">
        <v>35</v>
      </c>
      <c r="C75" s="74" t="s">
        <v>35</v>
      </c>
      <c r="D75" s="74" t="s">
        <v>35</v>
      </c>
      <c r="E75" s="74">
        <v>-2500</v>
      </c>
      <c r="F75" s="74">
        <v>-3500</v>
      </c>
      <c r="G75" s="74">
        <v>-6500</v>
      </c>
      <c r="H75" s="74">
        <v>-8805</v>
      </c>
      <c r="I75" s="74">
        <v>-12629</v>
      </c>
      <c r="J75" s="74">
        <v>-8750</v>
      </c>
      <c r="K75" s="74">
        <v>-9543</v>
      </c>
      <c r="L75" s="74">
        <v>-11151</v>
      </c>
      <c r="M75" s="74" t="s">
        <v>35</v>
      </c>
    </row>
    <row r="76" spans="1:13" ht="17">
      <c r="A76" s="71" t="s">
        <v>440</v>
      </c>
      <c r="B76" s="75" t="s">
        <v>35</v>
      </c>
      <c r="C76" s="75" t="s">
        <v>35</v>
      </c>
      <c r="D76" s="75" t="s">
        <v>35</v>
      </c>
      <c r="E76" s="75">
        <v>-2897</v>
      </c>
      <c r="F76" s="75">
        <v>-3500</v>
      </c>
      <c r="G76" s="75">
        <v>-6537</v>
      </c>
      <c r="H76" s="75">
        <v>-14782</v>
      </c>
      <c r="I76" s="75">
        <v>-13592</v>
      </c>
      <c r="J76" s="75">
        <v>-8750</v>
      </c>
      <c r="K76" s="75">
        <v>-9543</v>
      </c>
      <c r="L76" s="75">
        <v>-15129</v>
      </c>
      <c r="M76" s="75">
        <v>-9498</v>
      </c>
    </row>
    <row r="77" spans="1:13">
      <c r="A77" s="62"/>
      <c r="B77" s="62"/>
      <c r="C77" s="62"/>
      <c r="D77" s="62"/>
      <c r="E77" s="62"/>
      <c r="F77" s="62"/>
      <c r="G77" s="62"/>
      <c r="H77" s="62"/>
      <c r="I77" s="62"/>
      <c r="J77" s="62"/>
      <c r="K77" s="62"/>
      <c r="L77" s="62"/>
      <c r="M77" s="62"/>
    </row>
    <row r="78" spans="1:13" ht="17">
      <c r="A78" s="62" t="s">
        <v>441</v>
      </c>
      <c r="B78" s="72">
        <v>530</v>
      </c>
      <c r="C78" s="72">
        <v>730</v>
      </c>
      <c r="D78" s="72">
        <v>543</v>
      </c>
      <c r="E78" s="72">
        <v>495</v>
      </c>
      <c r="F78" s="72">
        <v>555</v>
      </c>
      <c r="G78" s="72">
        <v>669</v>
      </c>
      <c r="H78" s="72">
        <v>781</v>
      </c>
      <c r="I78" s="72" t="s">
        <v>35</v>
      </c>
      <c r="J78" s="72" t="s">
        <v>35</v>
      </c>
      <c r="K78" s="72" t="s">
        <v>35</v>
      </c>
      <c r="L78" s="72" t="s">
        <v>35</v>
      </c>
      <c r="M78" s="72" t="s">
        <v>35</v>
      </c>
    </row>
    <row r="79" spans="1:13" ht="17">
      <c r="A79" s="73" t="s">
        <v>442</v>
      </c>
      <c r="B79" s="74">
        <v>530</v>
      </c>
      <c r="C79" s="74">
        <v>730</v>
      </c>
      <c r="D79" s="74">
        <v>543</v>
      </c>
      <c r="E79" s="74">
        <v>495</v>
      </c>
      <c r="F79" s="74">
        <v>555</v>
      </c>
      <c r="G79" s="74">
        <v>669</v>
      </c>
      <c r="H79" s="74">
        <v>781</v>
      </c>
      <c r="I79" s="74" t="s">
        <v>35</v>
      </c>
      <c r="J79" s="74" t="s">
        <v>35</v>
      </c>
      <c r="K79" s="74" t="s">
        <v>35</v>
      </c>
      <c r="L79" s="74" t="s">
        <v>35</v>
      </c>
      <c r="M79" s="74" t="s">
        <v>35</v>
      </c>
    </row>
    <row r="80" spans="1:13">
      <c r="A80" s="62" t="s">
        <v>443</v>
      </c>
      <c r="B80" s="72">
        <v>-23942</v>
      </c>
      <c r="C80" s="72">
        <v>-46158</v>
      </c>
      <c r="D80" s="72">
        <v>-36752</v>
      </c>
      <c r="E80" s="72">
        <v>-31292</v>
      </c>
      <c r="F80" s="72">
        <v>-34774</v>
      </c>
      <c r="G80" s="72">
        <v>-75265</v>
      </c>
      <c r="H80" s="72">
        <v>-69714</v>
      </c>
      <c r="I80" s="72">
        <v>-75992</v>
      </c>
      <c r="J80" s="72">
        <v>-92527</v>
      </c>
      <c r="K80" s="72">
        <v>-95625</v>
      </c>
      <c r="L80" s="72">
        <v>-82981</v>
      </c>
      <c r="M80" s="72">
        <v>-83920</v>
      </c>
    </row>
    <row r="81" spans="1:13" ht="17">
      <c r="A81" s="73" t="s">
        <v>444</v>
      </c>
      <c r="B81" s="74">
        <v>-22860</v>
      </c>
      <c r="C81" s="74">
        <v>-45000</v>
      </c>
      <c r="D81" s="74">
        <v>-35253</v>
      </c>
      <c r="E81" s="74">
        <v>-29722</v>
      </c>
      <c r="F81" s="74">
        <v>-32900</v>
      </c>
      <c r="G81" s="74">
        <v>-72738</v>
      </c>
      <c r="H81" s="74">
        <v>-66897</v>
      </c>
      <c r="I81" s="74">
        <v>-72358</v>
      </c>
      <c r="J81" s="74">
        <v>-85971</v>
      </c>
      <c r="K81" s="74">
        <v>-89402</v>
      </c>
      <c r="L81" s="74">
        <v>-77550</v>
      </c>
      <c r="M81" s="74" t="s">
        <v>35</v>
      </c>
    </row>
    <row r="82" spans="1:13" ht="17">
      <c r="A82" s="73" t="s">
        <v>445</v>
      </c>
      <c r="B82" s="74">
        <v>-1082</v>
      </c>
      <c r="C82" s="74">
        <v>-1158</v>
      </c>
      <c r="D82" s="74">
        <v>-1499</v>
      </c>
      <c r="E82" s="74">
        <v>-1570</v>
      </c>
      <c r="F82" s="74">
        <v>-1874</v>
      </c>
      <c r="G82" s="74">
        <v>-2527</v>
      </c>
      <c r="H82" s="74">
        <v>-2817</v>
      </c>
      <c r="I82" s="74">
        <v>-3634</v>
      </c>
      <c r="J82" s="74">
        <v>-6556</v>
      </c>
      <c r="K82" s="74">
        <v>-6223</v>
      </c>
      <c r="L82" s="74">
        <v>-5431</v>
      </c>
      <c r="M82" s="74" t="s">
        <v>35</v>
      </c>
    </row>
    <row r="83" spans="1:13">
      <c r="A83" s="62"/>
      <c r="B83" s="62"/>
      <c r="C83" s="62"/>
      <c r="D83" s="62"/>
      <c r="E83" s="62"/>
      <c r="F83" s="62"/>
      <c r="G83" s="62"/>
      <c r="H83" s="62"/>
      <c r="I83" s="62"/>
      <c r="J83" s="62"/>
      <c r="K83" s="62"/>
      <c r="L83" s="62"/>
      <c r="M83" s="62"/>
    </row>
    <row r="84" spans="1:13">
      <c r="A84" s="62" t="s">
        <v>446</v>
      </c>
      <c r="B84" s="72">
        <v>-10564</v>
      </c>
      <c r="C84" s="72">
        <v>-11126</v>
      </c>
      <c r="D84" s="72">
        <v>-11561</v>
      </c>
      <c r="E84" s="72">
        <v>-12150</v>
      </c>
      <c r="F84" s="72">
        <v>-12769</v>
      </c>
      <c r="G84" s="72">
        <v>-13712</v>
      </c>
      <c r="H84" s="72">
        <v>-14119</v>
      </c>
      <c r="I84" s="72">
        <v>-14081</v>
      </c>
      <c r="J84" s="72">
        <v>-14467</v>
      </c>
      <c r="K84" s="72">
        <v>-14841</v>
      </c>
      <c r="L84" s="72">
        <v>-15025</v>
      </c>
      <c r="M84" s="72">
        <v>-15082</v>
      </c>
    </row>
    <row r="85" spans="1:13" ht="17">
      <c r="A85" s="73" t="s">
        <v>447</v>
      </c>
      <c r="B85" s="74">
        <v>-10564</v>
      </c>
      <c r="C85" s="74">
        <v>-11126</v>
      </c>
      <c r="D85" s="74">
        <v>-11561</v>
      </c>
      <c r="E85" s="74">
        <v>-12150</v>
      </c>
      <c r="F85" s="74">
        <v>-12769</v>
      </c>
      <c r="G85" s="74">
        <v>-13712</v>
      </c>
      <c r="H85" s="74" t="s">
        <v>35</v>
      </c>
      <c r="I85" s="74" t="s">
        <v>35</v>
      </c>
      <c r="J85" s="74" t="s">
        <v>35</v>
      </c>
      <c r="K85" s="74" t="s">
        <v>35</v>
      </c>
      <c r="L85" s="74" t="s">
        <v>35</v>
      </c>
      <c r="M85" s="74" t="s">
        <v>35</v>
      </c>
    </row>
    <row r="86" spans="1:13" ht="17">
      <c r="A86" s="73" t="s">
        <v>448</v>
      </c>
      <c r="B86" s="74" t="s">
        <v>35</v>
      </c>
      <c r="C86" s="74" t="s">
        <v>35</v>
      </c>
      <c r="D86" s="74" t="s">
        <v>35</v>
      </c>
      <c r="E86" s="74" t="s">
        <v>35</v>
      </c>
      <c r="F86" s="74" t="s">
        <v>35</v>
      </c>
      <c r="G86" s="74" t="s">
        <v>35</v>
      </c>
      <c r="H86" s="74">
        <v>-14119</v>
      </c>
      <c r="I86" s="74">
        <v>-14081</v>
      </c>
      <c r="J86" s="74">
        <v>-14467</v>
      </c>
      <c r="K86" s="74">
        <v>-14841</v>
      </c>
      <c r="L86" s="74">
        <v>-15025</v>
      </c>
      <c r="M86" s="74" t="s">
        <v>35</v>
      </c>
    </row>
    <row r="87" spans="1:13">
      <c r="A87" s="71" t="s">
        <v>449</v>
      </c>
      <c r="B87" s="75">
        <v>-10564</v>
      </c>
      <c r="C87" s="75">
        <v>-11126</v>
      </c>
      <c r="D87" s="75">
        <v>-11561</v>
      </c>
      <c r="E87" s="75">
        <v>-12150</v>
      </c>
      <c r="F87" s="75">
        <v>-12769</v>
      </c>
      <c r="G87" s="75">
        <v>-13712</v>
      </c>
      <c r="H87" s="75">
        <v>-14119</v>
      </c>
      <c r="I87" s="75">
        <v>-14081</v>
      </c>
      <c r="J87" s="75">
        <v>-14467</v>
      </c>
      <c r="K87" s="75">
        <v>-14841</v>
      </c>
      <c r="L87" s="75">
        <v>-15025</v>
      </c>
      <c r="M87" s="75">
        <v>-15082</v>
      </c>
    </row>
    <row r="88" spans="1:13">
      <c r="A88" s="62"/>
      <c r="B88" s="62"/>
      <c r="C88" s="62"/>
      <c r="D88" s="62"/>
      <c r="E88" s="62"/>
      <c r="F88" s="62"/>
      <c r="G88" s="62"/>
      <c r="H88" s="62"/>
      <c r="I88" s="62"/>
      <c r="J88" s="62"/>
      <c r="K88" s="62"/>
      <c r="L88" s="62"/>
      <c r="M88" s="62"/>
    </row>
    <row r="89" spans="1:13" ht="17">
      <c r="A89" s="62" t="s">
        <v>450</v>
      </c>
      <c r="B89" s="72" t="s">
        <v>35</v>
      </c>
      <c r="C89" s="72" t="s">
        <v>35</v>
      </c>
      <c r="D89" s="72" t="s">
        <v>35</v>
      </c>
      <c r="E89" s="72" t="s">
        <v>35</v>
      </c>
      <c r="F89" s="72" t="s">
        <v>35</v>
      </c>
      <c r="G89" s="72" t="s">
        <v>35</v>
      </c>
      <c r="H89" s="72" t="s">
        <v>35</v>
      </c>
      <c r="I89" s="72" t="s">
        <v>35</v>
      </c>
      <c r="J89" s="72" t="s">
        <v>35</v>
      </c>
      <c r="K89" s="72" t="s">
        <v>35</v>
      </c>
      <c r="L89" s="72" t="s">
        <v>35</v>
      </c>
      <c r="M89" s="72" t="s">
        <v>35</v>
      </c>
    </row>
    <row r="90" spans="1:13" ht="17">
      <c r="A90" s="62" t="s">
        <v>451</v>
      </c>
      <c r="B90" s="72">
        <v>701</v>
      </c>
      <c r="C90" s="72">
        <v>739</v>
      </c>
      <c r="D90" s="72">
        <v>749</v>
      </c>
      <c r="E90" s="72" t="s">
        <v>35</v>
      </c>
      <c r="F90" s="72" t="s">
        <v>35</v>
      </c>
      <c r="G90" s="72" t="s">
        <v>35</v>
      </c>
      <c r="H90" s="72">
        <v>-105</v>
      </c>
      <c r="I90" s="72">
        <v>754</v>
      </c>
      <c r="J90" s="72">
        <v>976</v>
      </c>
      <c r="K90" s="72">
        <v>-160</v>
      </c>
      <c r="L90" s="72">
        <v>-581</v>
      </c>
      <c r="M90" s="72">
        <v>-238</v>
      </c>
    </row>
    <row r="91" spans="1:13" ht="17">
      <c r="A91" s="73" t="s">
        <v>402</v>
      </c>
      <c r="B91" s="74" t="s">
        <v>35</v>
      </c>
      <c r="C91" s="74" t="s">
        <v>35</v>
      </c>
      <c r="D91" s="74" t="s">
        <v>35</v>
      </c>
      <c r="E91" s="74" t="s">
        <v>35</v>
      </c>
      <c r="F91" s="74" t="s">
        <v>35</v>
      </c>
      <c r="G91" s="74" t="s">
        <v>35</v>
      </c>
      <c r="H91" s="74">
        <v>-105</v>
      </c>
      <c r="I91" s="74">
        <v>754</v>
      </c>
      <c r="J91" s="74">
        <v>976</v>
      </c>
      <c r="K91" s="74">
        <v>-160</v>
      </c>
      <c r="L91" s="74">
        <v>-581</v>
      </c>
      <c r="M91" s="74" t="s">
        <v>35</v>
      </c>
    </row>
    <row r="92" spans="1:13" ht="17">
      <c r="A92" s="73" t="s">
        <v>452</v>
      </c>
      <c r="B92" s="74">
        <v>701</v>
      </c>
      <c r="C92" s="74">
        <v>739</v>
      </c>
      <c r="D92" s="74">
        <v>749</v>
      </c>
      <c r="E92" s="74" t="s">
        <v>35</v>
      </c>
      <c r="F92" s="74" t="s">
        <v>35</v>
      </c>
      <c r="G92" s="74" t="s">
        <v>35</v>
      </c>
      <c r="H92" s="74" t="s">
        <v>35</v>
      </c>
      <c r="I92" s="74" t="s">
        <v>35</v>
      </c>
      <c r="J92" s="74" t="s">
        <v>35</v>
      </c>
      <c r="K92" s="74" t="s">
        <v>35</v>
      </c>
      <c r="L92" s="74" t="s">
        <v>35</v>
      </c>
      <c r="M92" s="74" t="s">
        <v>35</v>
      </c>
    </row>
    <row r="93" spans="1:13">
      <c r="A93" s="71" t="s">
        <v>453</v>
      </c>
      <c r="B93" s="75">
        <v>-16379</v>
      </c>
      <c r="C93" s="75">
        <v>-37549</v>
      </c>
      <c r="D93" s="75">
        <v>-17716</v>
      </c>
      <c r="E93" s="75">
        <v>-20890</v>
      </c>
      <c r="F93" s="75">
        <v>-17974</v>
      </c>
      <c r="G93" s="75">
        <v>-87876</v>
      </c>
      <c r="H93" s="75">
        <v>-90976</v>
      </c>
      <c r="I93" s="75">
        <v>-86820</v>
      </c>
      <c r="J93" s="75">
        <v>-93353</v>
      </c>
      <c r="K93" s="75">
        <v>-110749</v>
      </c>
      <c r="L93" s="75">
        <v>-108488</v>
      </c>
      <c r="M93" s="75">
        <v>-103510</v>
      </c>
    </row>
    <row r="94" spans="1:13">
      <c r="A94" s="62"/>
      <c r="B94" s="62"/>
      <c r="C94" s="62"/>
      <c r="D94" s="62"/>
      <c r="E94" s="62"/>
      <c r="F94" s="62"/>
      <c r="G94" s="62"/>
      <c r="H94" s="62"/>
      <c r="I94" s="62"/>
      <c r="J94" s="62"/>
      <c r="K94" s="62"/>
      <c r="L94" s="62"/>
      <c r="M94" s="62"/>
    </row>
    <row r="95" spans="1:13">
      <c r="A95" s="71" t="s">
        <v>454</v>
      </c>
      <c r="B95" s="77">
        <v>3513</v>
      </c>
      <c r="C95" s="77">
        <v>-415</v>
      </c>
      <c r="D95" s="77">
        <v>7276</v>
      </c>
      <c r="E95" s="77">
        <v>-636</v>
      </c>
      <c r="F95" s="77">
        <v>-195</v>
      </c>
      <c r="G95" s="77">
        <v>5624</v>
      </c>
      <c r="H95" s="77">
        <v>24311</v>
      </c>
      <c r="I95" s="77">
        <v>-10435</v>
      </c>
      <c r="J95" s="77">
        <v>-3860</v>
      </c>
      <c r="K95" s="77">
        <v>-10952</v>
      </c>
      <c r="L95" s="77">
        <v>5760</v>
      </c>
      <c r="M95" s="77">
        <v>20000</v>
      </c>
    </row>
    <row r="96" spans="1:13">
      <c r="A96" s="62"/>
      <c r="B96" s="62"/>
      <c r="C96" s="62"/>
      <c r="D96" s="62"/>
      <c r="E96" s="62"/>
      <c r="F96" s="62"/>
      <c r="G96" s="62"/>
      <c r="H96" s="62"/>
      <c r="I96" s="62"/>
      <c r="J96" s="62"/>
      <c r="K96" s="62"/>
      <c r="L96" s="62"/>
      <c r="M96" s="62"/>
    </row>
    <row r="97" spans="1:13">
      <c r="A97" s="71" t="s">
        <v>177</v>
      </c>
      <c r="B97" s="62"/>
      <c r="C97" s="62"/>
      <c r="D97" s="62"/>
      <c r="E97" s="62"/>
      <c r="F97" s="62"/>
      <c r="G97" s="62"/>
      <c r="H97" s="62"/>
      <c r="I97" s="62"/>
      <c r="J97" s="62"/>
      <c r="K97" s="62"/>
      <c r="L97" s="62"/>
      <c r="M97" s="62"/>
    </row>
    <row r="98" spans="1:13" ht="17">
      <c r="A98" s="62" t="s">
        <v>455</v>
      </c>
      <c r="B98" s="72" t="s">
        <v>180</v>
      </c>
      <c r="C98" s="72">
        <v>339</v>
      </c>
      <c r="D98" s="72">
        <v>514</v>
      </c>
      <c r="E98" s="72">
        <v>1316</v>
      </c>
      <c r="F98" s="72">
        <v>2092</v>
      </c>
      <c r="G98" s="72">
        <v>3022</v>
      </c>
      <c r="H98" s="72">
        <v>3423</v>
      </c>
      <c r="I98" s="72">
        <v>3002</v>
      </c>
      <c r="J98" s="72">
        <v>2687</v>
      </c>
      <c r="K98" s="72">
        <v>2865</v>
      </c>
      <c r="L98" s="72">
        <v>3803</v>
      </c>
      <c r="M98" s="72">
        <v>3803</v>
      </c>
    </row>
    <row r="99" spans="1:13">
      <c r="A99" s="62" t="s">
        <v>456</v>
      </c>
      <c r="B99" s="72">
        <v>9128</v>
      </c>
      <c r="C99" s="72">
        <v>10026</v>
      </c>
      <c r="D99" s="72">
        <v>13252</v>
      </c>
      <c r="E99" s="72">
        <v>10444</v>
      </c>
      <c r="F99" s="72">
        <v>11591</v>
      </c>
      <c r="G99" s="72">
        <v>10417</v>
      </c>
      <c r="H99" s="72">
        <v>15263</v>
      </c>
      <c r="I99" s="72">
        <v>9501</v>
      </c>
      <c r="J99" s="72">
        <v>25385</v>
      </c>
      <c r="K99" s="72">
        <v>19573</v>
      </c>
      <c r="L99" s="72">
        <v>18679</v>
      </c>
      <c r="M99" s="72">
        <v>25106</v>
      </c>
    </row>
    <row r="100" spans="1:13">
      <c r="A100" s="62" t="s">
        <v>457</v>
      </c>
      <c r="B100" s="72">
        <v>31417.375</v>
      </c>
      <c r="C100" s="72">
        <v>36375.375</v>
      </c>
      <c r="D100" s="72">
        <v>55863.625</v>
      </c>
      <c r="E100" s="72">
        <v>44058</v>
      </c>
      <c r="F100" s="72">
        <v>39624.125</v>
      </c>
      <c r="G100" s="72">
        <v>47482.25</v>
      </c>
      <c r="H100" s="72">
        <v>42914.25</v>
      </c>
      <c r="I100" s="72">
        <v>60387.375</v>
      </c>
      <c r="J100" s="72">
        <v>73295</v>
      </c>
      <c r="K100" s="72">
        <v>90215.25</v>
      </c>
      <c r="L100" s="72">
        <v>82180</v>
      </c>
      <c r="M100" s="72">
        <v>86563.125</v>
      </c>
    </row>
    <row r="101" spans="1:13">
      <c r="A101" s="62" t="s">
        <v>458</v>
      </c>
      <c r="B101" s="72">
        <v>31502.375</v>
      </c>
      <c r="C101" s="72">
        <v>36615.375</v>
      </c>
      <c r="D101" s="72">
        <v>56321.75</v>
      </c>
      <c r="E101" s="72">
        <v>44968</v>
      </c>
      <c r="F101" s="72">
        <v>41076</v>
      </c>
      <c r="G101" s="72">
        <v>49507.25</v>
      </c>
      <c r="H101" s="72">
        <v>45149.25</v>
      </c>
      <c r="I101" s="72">
        <v>62183</v>
      </c>
      <c r="J101" s="72">
        <v>74948.125</v>
      </c>
      <c r="K101" s="72">
        <v>92047.125</v>
      </c>
      <c r="L101" s="72">
        <v>84638.125</v>
      </c>
      <c r="M101" s="72">
        <v>89021.25</v>
      </c>
    </row>
    <row r="102" spans="1:13">
      <c r="A102" s="62" t="s">
        <v>459</v>
      </c>
      <c r="B102" s="72">
        <v>-944</v>
      </c>
      <c r="C102" s="72">
        <v>-2805</v>
      </c>
      <c r="D102" s="72">
        <v>-8448</v>
      </c>
      <c r="E102" s="72">
        <v>-5472</v>
      </c>
      <c r="F102" s="72">
        <v>-190</v>
      </c>
      <c r="G102" s="72">
        <v>-2266</v>
      </c>
      <c r="H102" s="72">
        <v>2927</v>
      </c>
      <c r="I102" s="72">
        <v>-10177</v>
      </c>
      <c r="J102" s="72">
        <v>1250</v>
      </c>
      <c r="K102" s="72">
        <v>-7965</v>
      </c>
      <c r="L102" s="72">
        <v>-1807</v>
      </c>
      <c r="M102" s="72">
        <v>-2048</v>
      </c>
    </row>
    <row r="103" spans="1:13">
      <c r="A103" s="62" t="s">
        <v>460</v>
      </c>
      <c r="B103" s="72">
        <v>16896</v>
      </c>
      <c r="C103" s="72">
        <v>18266</v>
      </c>
      <c r="D103" s="72">
        <v>29305</v>
      </c>
      <c r="E103" s="72">
        <v>22057</v>
      </c>
      <c r="F103" s="72">
        <v>29014</v>
      </c>
      <c r="G103" s="72">
        <v>432</v>
      </c>
      <c r="H103" s="72">
        <v>-7819</v>
      </c>
      <c r="I103" s="72">
        <v>2499</v>
      </c>
      <c r="J103" s="72">
        <v>12665</v>
      </c>
      <c r="K103" s="72">
        <v>-123</v>
      </c>
      <c r="L103" s="72">
        <v>-9901</v>
      </c>
      <c r="M103" s="72">
        <v>-4270</v>
      </c>
    </row>
    <row r="104" spans="1:13">
      <c r="A104" s="62" t="s">
        <v>191</v>
      </c>
      <c r="B104" s="82">
        <v>42305</v>
      </c>
      <c r="C104" s="82">
        <v>42669</v>
      </c>
      <c r="D104" s="82">
        <v>43042</v>
      </c>
      <c r="E104" s="82">
        <v>43409</v>
      </c>
      <c r="F104" s="82">
        <v>43769</v>
      </c>
      <c r="G104" s="82">
        <v>44134</v>
      </c>
      <c r="H104" s="82">
        <v>44498</v>
      </c>
      <c r="I104" s="82">
        <v>44862</v>
      </c>
      <c r="J104" s="82">
        <v>45233</v>
      </c>
      <c r="K104" s="82">
        <v>45233</v>
      </c>
      <c r="L104" s="82">
        <v>45233</v>
      </c>
      <c r="M104" s="82">
        <v>45324</v>
      </c>
    </row>
    <row r="105" spans="1:13" ht="17">
      <c r="A105" s="62" t="s">
        <v>192</v>
      </c>
      <c r="B105" s="83" t="s">
        <v>193</v>
      </c>
      <c r="C105" s="83" t="s">
        <v>193</v>
      </c>
      <c r="D105" s="83" t="s">
        <v>193</v>
      </c>
      <c r="E105" s="83" t="s">
        <v>374</v>
      </c>
      <c r="F105" s="83" t="s">
        <v>374</v>
      </c>
      <c r="G105" s="83" t="s">
        <v>193</v>
      </c>
      <c r="H105" s="83" t="s">
        <v>193</v>
      </c>
      <c r="I105" s="83" t="s">
        <v>193</v>
      </c>
      <c r="J105" s="83" t="s">
        <v>193</v>
      </c>
      <c r="K105" s="83" t="s">
        <v>193</v>
      </c>
      <c r="L105" s="83" t="s">
        <v>194</v>
      </c>
      <c r="M105" s="83" t="s">
        <v>194</v>
      </c>
    </row>
    <row r="106" spans="1:13" ht="17">
      <c r="A106" s="62" t="s">
        <v>195</v>
      </c>
      <c r="B106" s="83" t="s">
        <v>196</v>
      </c>
      <c r="C106" s="83" t="s">
        <v>196</v>
      </c>
      <c r="D106" s="83" t="s">
        <v>196</v>
      </c>
      <c r="E106" s="83" t="s">
        <v>196</v>
      </c>
      <c r="F106" s="83" t="s">
        <v>196</v>
      </c>
      <c r="G106" s="83" t="s">
        <v>196</v>
      </c>
      <c r="H106" s="83" t="s">
        <v>196</v>
      </c>
      <c r="I106" s="83" t="s">
        <v>196</v>
      </c>
      <c r="J106" s="83" t="s">
        <v>196</v>
      </c>
      <c r="K106" s="83" t="s">
        <v>196</v>
      </c>
      <c r="L106" s="83" t="s">
        <v>196</v>
      </c>
      <c r="M106" s="83" t="s">
        <v>197</v>
      </c>
    </row>
    <row r="107" spans="1:13">
      <c r="A107" s="62"/>
      <c r="B107" s="62"/>
      <c r="C107" s="62"/>
      <c r="D107" s="62"/>
      <c r="E107" s="62"/>
      <c r="F107" s="62"/>
      <c r="G107" s="62"/>
      <c r="H107" s="62"/>
      <c r="I107" s="62"/>
      <c r="J107" s="62"/>
      <c r="K107" s="62"/>
      <c r="L107" s="62"/>
      <c r="M107" s="62"/>
    </row>
    <row r="108" spans="1:13" ht="102">
      <c r="A108" s="91" t="s">
        <v>80</v>
      </c>
      <c r="B108" s="85"/>
      <c r="C108" s="85"/>
      <c r="D108" s="85"/>
      <c r="E108" s="85"/>
      <c r="F108" s="85"/>
      <c r="G108" s="85"/>
      <c r="H108" s="85"/>
      <c r="I108" s="85"/>
      <c r="J108" s="85"/>
      <c r="K108" s="85"/>
      <c r="L108" s="85"/>
      <c r="M108" s="85"/>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D6AC-0E3D-D145-842C-A68F873973DA}">
  <dimension ref="A1:T2518"/>
  <sheetViews>
    <sheetView topLeftCell="I1" workbookViewId="0">
      <selection activeCell="T3" sqref="T3"/>
    </sheetView>
  </sheetViews>
  <sheetFormatPr baseColWidth="10" defaultRowHeight="16"/>
  <cols>
    <col min="1" max="1" width="11" style="28" bestFit="1" customWidth="1"/>
    <col min="2" max="2" width="17" style="28" bestFit="1" customWidth="1"/>
    <col min="3" max="3" width="17" style="28" customWidth="1"/>
    <col min="4" max="4" width="11" style="31" bestFit="1" customWidth="1"/>
    <col min="5" max="5" width="17" style="28" customWidth="1"/>
    <col min="6" max="6" width="10.83203125" style="31"/>
    <col min="7" max="7" width="19.5" style="31" bestFit="1" customWidth="1"/>
    <col min="8" max="9" width="10.83203125" style="31"/>
    <col min="10" max="10" width="12.33203125" style="28" bestFit="1" customWidth="1"/>
    <col min="11" max="11" width="16.83203125" style="28" bestFit="1" customWidth="1"/>
    <col min="12" max="12" width="16.83203125" style="28" customWidth="1"/>
    <col min="13" max="13" width="7.83203125" style="31" bestFit="1" customWidth="1"/>
    <col min="14" max="14" width="16.83203125" style="28" customWidth="1"/>
    <col min="15" max="15" width="10.83203125" style="29"/>
    <col min="16" max="16" width="19.5" style="29" bestFit="1" customWidth="1"/>
    <col min="17" max="18" width="10.83203125" style="29"/>
    <col min="19" max="19" width="17" style="29" bestFit="1" customWidth="1"/>
    <col min="20" max="16384" width="10.83203125" style="29"/>
  </cols>
  <sheetData>
    <row r="1" spans="1:20">
      <c r="A1" s="28" t="s">
        <v>492</v>
      </c>
      <c r="G1" s="28" t="s">
        <v>492</v>
      </c>
      <c r="J1" s="28" t="s">
        <v>495</v>
      </c>
      <c r="P1" s="28" t="s">
        <v>495</v>
      </c>
      <c r="S1" s="29" t="s">
        <v>602</v>
      </c>
    </row>
    <row r="2" spans="1:20">
      <c r="A2" s="28" t="s">
        <v>491</v>
      </c>
      <c r="B2" s="28" t="s">
        <v>494</v>
      </c>
      <c r="C2" s="28" t="s">
        <v>497</v>
      </c>
      <c r="D2" s="31" t="s">
        <v>493</v>
      </c>
      <c r="E2" s="28" t="s">
        <v>498</v>
      </c>
      <c r="G2" s="31" t="s">
        <v>501</v>
      </c>
      <c r="H2" s="33">
        <f>_xlfn.STDEV.S(C4:C2518)</f>
        <v>1.7885220012454774E-2</v>
      </c>
      <c r="J2" s="28" t="s">
        <v>491</v>
      </c>
      <c r="K2" s="28" t="s">
        <v>494</v>
      </c>
      <c r="L2" s="28" t="s">
        <v>497</v>
      </c>
      <c r="M2" s="31" t="s">
        <v>496</v>
      </c>
      <c r="N2" s="28" t="s">
        <v>498</v>
      </c>
      <c r="P2" s="31" t="s">
        <v>501</v>
      </c>
      <c r="Q2" s="34">
        <f>_xlfn.STDEV.S(L4:L524)</f>
        <v>3.7303841091982572E-2</v>
      </c>
      <c r="S2" s="29" t="s">
        <v>505</v>
      </c>
      <c r="T2" s="113">
        <f>AVERAGE(H5,Q5)</f>
        <v>1.1948597104287644</v>
      </c>
    </row>
    <row r="3" spans="1:20">
      <c r="A3" s="30">
        <v>41641</v>
      </c>
      <c r="B3" s="28">
        <v>17.296661</v>
      </c>
      <c r="D3" s="31">
        <v>1831.98</v>
      </c>
      <c r="G3" s="31" t="s">
        <v>499</v>
      </c>
      <c r="H3" s="31">
        <f>_xlfn.COVARIANCE.S(C4:C2518, E4:E2518)</f>
        <v>1.4931499475382757E-4</v>
      </c>
      <c r="J3" s="30">
        <v>41640</v>
      </c>
      <c r="K3" s="28">
        <v>16.887325000000001</v>
      </c>
      <c r="M3" s="32">
        <v>1837.88</v>
      </c>
      <c r="P3" s="31" t="s">
        <v>499</v>
      </c>
      <c r="Q3" s="29">
        <f>_xlfn.COVARIANCE.S(L4:L524,N4:N524)</f>
        <v>5.4878483763958884E-4</v>
      </c>
      <c r="S3" s="29" t="s">
        <v>504</v>
      </c>
      <c r="T3" s="112">
        <f>AVERAGE(H7,Q7)</f>
        <v>0.27646044471879638</v>
      </c>
    </row>
    <row r="4" spans="1:20">
      <c r="A4" s="30">
        <v>41642</v>
      </c>
      <c r="B4" s="28">
        <v>16.916723000000001</v>
      </c>
      <c r="C4" s="28">
        <f>LN(B4/B3)</f>
        <v>-2.221081779787034E-2</v>
      </c>
      <c r="D4" s="31">
        <v>1831.37</v>
      </c>
      <c r="E4" s="28">
        <f>LN(D4/D3)</f>
        <v>-3.3302851523223272E-4</v>
      </c>
      <c r="G4" s="31" t="s">
        <v>500</v>
      </c>
      <c r="H4" s="31">
        <f>_xlfn.VAR.S(E4:E2518)</f>
        <v>1.2573048990982351E-4</v>
      </c>
      <c r="J4" s="30">
        <v>41647</v>
      </c>
      <c r="K4" s="28">
        <v>17.085896999999999</v>
      </c>
      <c r="L4" s="28">
        <f>LN(K4/K3)</f>
        <v>1.1690045845647177E-2</v>
      </c>
      <c r="M4" s="32">
        <v>1838.88</v>
      </c>
      <c r="N4" s="28">
        <f>LN(M4/M3)</f>
        <v>5.4395719310339262E-4</v>
      </c>
      <c r="P4" s="31" t="s">
        <v>500</v>
      </c>
      <c r="Q4" s="29">
        <f>_xlfn.VAR.S(N4:N524)</f>
        <v>4.5650675275719623E-4</v>
      </c>
    </row>
    <row r="5" spans="1:20">
      <c r="A5" s="30">
        <v>41645</v>
      </c>
      <c r="B5" s="28">
        <v>17.008963000000001</v>
      </c>
      <c r="C5" s="28">
        <f t="shared" ref="C5:E68" si="0">LN(B5/B4)</f>
        <v>5.4377811131363111E-3</v>
      </c>
      <c r="D5" s="31">
        <v>1826.77</v>
      </c>
      <c r="E5" s="28">
        <f t="shared" si="0"/>
        <v>-2.514940611652187E-3</v>
      </c>
      <c r="G5" s="31" t="s">
        <v>502</v>
      </c>
      <c r="H5" s="113">
        <f>H3/H4</f>
        <v>1.1875798373244177</v>
      </c>
      <c r="J5" s="30">
        <v>41654</v>
      </c>
      <c r="K5" s="28">
        <v>17.169701</v>
      </c>
      <c r="L5" s="28">
        <f t="shared" ref="L5:N68" si="1">LN(K5/K4)</f>
        <v>4.8928742794355391E-3</v>
      </c>
      <c r="M5" s="32">
        <v>1843.8</v>
      </c>
      <c r="N5" s="28">
        <f t="shared" si="1"/>
        <v>2.6719687440453659E-3</v>
      </c>
      <c r="P5" s="31" t="s">
        <v>502</v>
      </c>
      <c r="Q5" s="113">
        <f>Q3/Q4</f>
        <v>1.2021395835331112</v>
      </c>
    </row>
    <row r="6" spans="1:20">
      <c r="A6" s="30">
        <v>41646</v>
      </c>
      <c r="B6" s="28">
        <v>16.887326999999999</v>
      </c>
      <c r="C6" s="28">
        <f t="shared" si="0"/>
        <v>-7.1769814403040777E-3</v>
      </c>
      <c r="D6" s="31">
        <v>1837.88</v>
      </c>
      <c r="E6" s="28">
        <f t="shared" si="0"/>
        <v>6.0633534103130306E-3</v>
      </c>
      <c r="J6" s="30">
        <v>41661</v>
      </c>
      <c r="K6" s="28">
        <v>15.838517</v>
      </c>
      <c r="L6" s="28">
        <f t="shared" si="1"/>
        <v>-8.0701502397476019E-2</v>
      </c>
      <c r="M6" s="32">
        <v>1792.5</v>
      </c>
      <c r="N6" s="28">
        <f t="shared" si="1"/>
        <v>-2.8217365890718545E-2</v>
      </c>
      <c r="P6" s="31"/>
    </row>
    <row r="7" spans="1:20">
      <c r="A7" s="30">
        <v>41647</v>
      </c>
      <c r="B7" s="28">
        <v>16.994271999999999</v>
      </c>
      <c r="C7" s="28">
        <f t="shared" si="0"/>
        <v>6.3128871319771849E-3</v>
      </c>
      <c r="D7" s="31">
        <v>1837.49</v>
      </c>
      <c r="E7" s="28">
        <f t="shared" si="0"/>
        <v>-2.1222353203285233E-4</v>
      </c>
      <c r="G7" s="31" t="s">
        <v>503</v>
      </c>
      <c r="H7" s="114">
        <f>H2*SQRT(252)</f>
        <v>0.28391906577978526</v>
      </c>
      <c r="J7" s="30">
        <v>41668</v>
      </c>
      <c r="K7" s="28">
        <v>15.910119</v>
      </c>
      <c r="L7" s="28">
        <f t="shared" si="1"/>
        <v>4.5105636283891536E-3</v>
      </c>
      <c r="M7" s="32">
        <v>1755.2</v>
      </c>
      <c r="N7" s="28">
        <f t="shared" si="1"/>
        <v>-2.1028482952809589E-2</v>
      </c>
      <c r="P7" s="31" t="s">
        <v>503</v>
      </c>
      <c r="Q7" s="114">
        <f>Q2*SQRT(52)</f>
        <v>0.26900182365780745</v>
      </c>
    </row>
    <row r="8" spans="1:20">
      <c r="A8" s="30">
        <v>41648</v>
      </c>
      <c r="B8" s="28">
        <v>16.777253999999999</v>
      </c>
      <c r="C8" s="28">
        <f t="shared" si="0"/>
        <v>-1.2852305653963352E-2</v>
      </c>
      <c r="D8" s="31">
        <v>1838.13</v>
      </c>
      <c r="E8" s="28">
        <f t="shared" si="0"/>
        <v>3.4824057245738698E-4</v>
      </c>
      <c r="J8" s="30">
        <v>41675</v>
      </c>
      <c r="K8" s="28">
        <v>16.759747999999998</v>
      </c>
      <c r="L8" s="28">
        <f t="shared" si="1"/>
        <v>5.2024737247056044E-2</v>
      </c>
      <c r="M8" s="32">
        <v>1819.75</v>
      </c>
      <c r="N8" s="28">
        <f t="shared" si="1"/>
        <v>3.6116318477401384E-2</v>
      </c>
    </row>
    <row r="9" spans="1:20">
      <c r="A9" s="30">
        <v>41649</v>
      </c>
      <c r="B9" s="28">
        <v>16.665308</v>
      </c>
      <c r="C9" s="28">
        <f t="shared" si="0"/>
        <v>-6.69484701124912E-3</v>
      </c>
      <c r="D9" s="31">
        <v>1842.37</v>
      </c>
      <c r="E9" s="28">
        <f t="shared" si="0"/>
        <v>2.3040357971461523E-3</v>
      </c>
      <c r="J9" s="30">
        <v>41682</v>
      </c>
      <c r="K9" s="28">
        <v>17.175587</v>
      </c>
      <c r="L9" s="28">
        <f t="shared" si="1"/>
        <v>2.4508955966694442E-2</v>
      </c>
      <c r="M9" s="32">
        <v>1840.76</v>
      </c>
      <c r="N9" s="28">
        <f t="shared" si="1"/>
        <v>1.1479400803949144E-2</v>
      </c>
    </row>
    <row r="10" spans="1:20">
      <c r="A10" s="30">
        <v>41652</v>
      </c>
      <c r="B10" s="28">
        <v>16.752541000000001</v>
      </c>
      <c r="C10" s="28">
        <f t="shared" si="0"/>
        <v>5.2207548210044573E-3</v>
      </c>
      <c r="D10" s="31">
        <v>1819.2</v>
      </c>
      <c r="E10" s="28">
        <f t="shared" si="0"/>
        <v>-1.2655942268644282E-2</v>
      </c>
      <c r="J10" s="30">
        <v>41689</v>
      </c>
      <c r="K10" s="28">
        <v>16.422802000000001</v>
      </c>
      <c r="L10" s="28">
        <f t="shared" si="1"/>
        <v>-4.4818280087881933E-2</v>
      </c>
      <c r="M10" s="32">
        <v>1845.12</v>
      </c>
      <c r="N10" s="28">
        <f t="shared" si="1"/>
        <v>2.3657862076661945E-3</v>
      </c>
    </row>
    <row r="11" spans="1:20">
      <c r="A11" s="30">
        <v>41653</v>
      </c>
      <c r="B11" s="28">
        <v>17.085889999999999</v>
      </c>
      <c r="C11" s="28">
        <f t="shared" si="0"/>
        <v>1.9703028431166562E-2</v>
      </c>
      <c r="D11" s="31">
        <v>1838.88</v>
      </c>
      <c r="E11" s="28">
        <f t="shared" si="0"/>
        <v>1.075984662417709E-2</v>
      </c>
      <c r="J11" s="30">
        <v>41696</v>
      </c>
      <c r="K11" s="28">
        <v>16.711590000000001</v>
      </c>
      <c r="L11" s="28">
        <f t="shared" si="1"/>
        <v>1.7431755663624152E-2</v>
      </c>
      <c r="M11" s="32">
        <v>1873.91</v>
      </c>
      <c r="N11" s="28">
        <f t="shared" si="1"/>
        <v>1.5482841021457595E-2</v>
      </c>
    </row>
    <row r="12" spans="1:20">
      <c r="A12" s="30">
        <v>41654</v>
      </c>
      <c r="B12" s="28">
        <v>17.428937999999999</v>
      </c>
      <c r="C12" s="28">
        <f t="shared" si="0"/>
        <v>1.9878951554370829E-2</v>
      </c>
      <c r="D12" s="31">
        <v>1848.38</v>
      </c>
      <c r="E12" s="28">
        <f t="shared" si="0"/>
        <v>5.1528891483296332E-3</v>
      </c>
      <c r="J12" s="30">
        <v>41703</v>
      </c>
      <c r="K12" s="28">
        <v>16.864149000000001</v>
      </c>
      <c r="L12" s="28">
        <f t="shared" si="1"/>
        <v>9.087517025102276E-3</v>
      </c>
      <c r="M12" s="32">
        <v>1867.63</v>
      </c>
      <c r="N12" s="28">
        <f t="shared" si="1"/>
        <v>-3.3569096668002269E-3</v>
      </c>
    </row>
    <row r="13" spans="1:20">
      <c r="A13" s="30">
        <v>41655</v>
      </c>
      <c r="B13" s="28">
        <v>17.331683999999999</v>
      </c>
      <c r="C13" s="28">
        <f t="shared" si="0"/>
        <v>-5.5956567038931253E-3</v>
      </c>
      <c r="D13" s="31">
        <v>1845.89</v>
      </c>
      <c r="E13" s="28">
        <f t="shared" si="0"/>
        <v>-1.3480337804588889E-3</v>
      </c>
      <c r="J13" s="30">
        <v>41710</v>
      </c>
      <c r="K13" s="28">
        <v>16.716621</v>
      </c>
      <c r="L13" s="28">
        <f t="shared" si="1"/>
        <v>-8.7865137773971078E-3</v>
      </c>
      <c r="M13" s="32">
        <v>1872.25</v>
      </c>
      <c r="N13" s="28">
        <f t="shared" si="1"/>
        <v>2.4706687648363723E-3</v>
      </c>
    </row>
    <row r="14" spans="1:20">
      <c r="A14" s="30">
        <v>41656</v>
      </c>
      <c r="B14" s="28">
        <v>16.907028</v>
      </c>
      <c r="C14" s="28">
        <f t="shared" si="0"/>
        <v>-2.4806878067523939E-2</v>
      </c>
      <c r="D14" s="31">
        <v>1838.7</v>
      </c>
      <c r="E14" s="28">
        <f t="shared" si="0"/>
        <v>-3.9027458285236156E-3</v>
      </c>
      <c r="J14" s="30">
        <v>41717</v>
      </c>
      <c r="K14" s="28">
        <v>17.144131000000002</v>
      </c>
      <c r="L14" s="28">
        <f t="shared" si="1"/>
        <v>2.525240536782148E-2</v>
      </c>
      <c r="M14" s="32">
        <v>1865.62</v>
      </c>
      <c r="N14" s="28">
        <f t="shared" si="1"/>
        <v>-3.5474786191026786E-3</v>
      </c>
    </row>
    <row r="15" spans="1:20">
      <c r="A15" s="30">
        <v>41660</v>
      </c>
      <c r="B15" s="28">
        <v>17.169696999999999</v>
      </c>
      <c r="C15" s="28">
        <f t="shared" si="0"/>
        <v>1.5416634222624105E-2</v>
      </c>
      <c r="D15" s="31">
        <v>1843.8</v>
      </c>
      <c r="E15" s="28">
        <f t="shared" si="0"/>
        <v>2.7698592046981876E-3</v>
      </c>
      <c r="J15" s="30">
        <v>41724</v>
      </c>
      <c r="K15" s="28">
        <v>17.039057</v>
      </c>
      <c r="L15" s="28">
        <f t="shared" si="1"/>
        <v>-6.147719805090956E-3</v>
      </c>
      <c r="M15" s="32">
        <v>1885.52</v>
      </c>
      <c r="N15" s="28">
        <f t="shared" si="1"/>
        <v>1.0610207397758649E-2</v>
      </c>
    </row>
    <row r="16" spans="1:20">
      <c r="A16" s="30">
        <v>41661</v>
      </c>
      <c r="B16" s="28">
        <v>17.245996000000002</v>
      </c>
      <c r="C16" s="28">
        <f t="shared" si="0"/>
        <v>4.4339728974158972E-3</v>
      </c>
      <c r="D16" s="31">
        <v>1844.86</v>
      </c>
      <c r="E16" s="28">
        <f t="shared" si="0"/>
        <v>5.747344722354488E-4</v>
      </c>
      <c r="J16" s="30">
        <v>41731</v>
      </c>
      <c r="K16" s="28">
        <v>16.466213</v>
      </c>
      <c r="L16" s="28">
        <f t="shared" si="1"/>
        <v>-3.4197594955292954E-2</v>
      </c>
      <c r="M16" s="32">
        <v>1851.96</v>
      </c>
      <c r="N16" s="28">
        <f t="shared" si="1"/>
        <v>-1.7959107207391852E-2</v>
      </c>
    </row>
    <row r="17" spans="1:14">
      <c r="A17" s="30">
        <v>41662</v>
      </c>
      <c r="B17" s="28">
        <v>17.392026999999999</v>
      </c>
      <c r="C17" s="28">
        <f t="shared" si="0"/>
        <v>8.4318822232858776E-3</v>
      </c>
      <c r="D17" s="31">
        <v>1828.46</v>
      </c>
      <c r="E17" s="28">
        <f t="shared" si="0"/>
        <v>-8.9293113410991373E-3</v>
      </c>
      <c r="J17" s="30">
        <v>41738</v>
      </c>
      <c r="K17" s="28">
        <v>16.293823</v>
      </c>
      <c r="L17" s="28">
        <f t="shared" si="1"/>
        <v>-1.0524505603823316E-2</v>
      </c>
      <c r="M17" s="32">
        <v>1842.98</v>
      </c>
      <c r="N17" s="28">
        <f t="shared" si="1"/>
        <v>-4.8607109617470196E-3</v>
      </c>
    </row>
    <row r="18" spans="1:14">
      <c r="A18" s="30">
        <v>41663</v>
      </c>
      <c r="B18" s="28">
        <v>17.075893000000001</v>
      </c>
      <c r="C18" s="28">
        <f t="shared" si="0"/>
        <v>-1.834418004394163E-2</v>
      </c>
      <c r="D18" s="31">
        <v>1790.29</v>
      </c>
      <c r="E18" s="28">
        <f t="shared" si="0"/>
        <v>-2.109646461003822E-2</v>
      </c>
      <c r="J18" s="30">
        <v>41745</v>
      </c>
      <c r="K18" s="28">
        <v>16.726053</v>
      </c>
      <c r="L18" s="28">
        <f t="shared" si="1"/>
        <v>2.6181484738541386E-2</v>
      </c>
      <c r="M18" s="32">
        <v>1879.55</v>
      </c>
      <c r="N18" s="28">
        <f t="shared" si="1"/>
        <v>1.9648559731289331E-2</v>
      </c>
    </row>
    <row r="19" spans="1:14">
      <c r="A19" s="30">
        <v>41666</v>
      </c>
      <c r="B19" s="28">
        <v>17.214417000000001</v>
      </c>
      <c r="C19" s="28">
        <f t="shared" si="0"/>
        <v>8.0795276307215752E-3</v>
      </c>
      <c r="D19" s="31">
        <v>1781.56</v>
      </c>
      <c r="E19" s="28">
        <f t="shared" si="0"/>
        <v>-4.8882329232613157E-3</v>
      </c>
      <c r="J19" s="30">
        <v>41752</v>
      </c>
      <c r="K19" s="28">
        <v>18.633327000000001</v>
      </c>
      <c r="L19" s="28">
        <f t="shared" si="1"/>
        <v>0.10798418792654785</v>
      </c>
      <c r="M19" s="32">
        <v>1878.33</v>
      </c>
      <c r="N19" s="28">
        <f t="shared" si="1"/>
        <v>-6.4930228898311818E-4</v>
      </c>
    </row>
    <row r="20" spans="1:14">
      <c r="A20" s="30">
        <v>41667</v>
      </c>
      <c r="B20" s="28">
        <v>15.838511</v>
      </c>
      <c r="C20" s="28">
        <f t="shared" si="0"/>
        <v>-8.3302850959817945E-2</v>
      </c>
      <c r="D20" s="31">
        <v>1792.5</v>
      </c>
      <c r="E20" s="28">
        <f t="shared" si="0"/>
        <v>6.121908511444599E-3</v>
      </c>
      <c r="J20" s="30">
        <v>41759</v>
      </c>
      <c r="K20" s="28">
        <v>18.698772000000002</v>
      </c>
      <c r="L20" s="28">
        <f t="shared" si="1"/>
        <v>3.5061016548554825E-3</v>
      </c>
      <c r="M20" s="32">
        <v>1867.72</v>
      </c>
      <c r="N20" s="28">
        <f t="shared" si="1"/>
        <v>-5.6646485611990685E-3</v>
      </c>
    </row>
    <row r="21" spans="1:14">
      <c r="A21" s="30">
        <v>41668</v>
      </c>
      <c r="B21" s="28">
        <v>15.658706</v>
      </c>
      <c r="C21" s="28">
        <f t="shared" si="0"/>
        <v>-1.1417323200746239E-2</v>
      </c>
      <c r="D21" s="31">
        <v>1774.2</v>
      </c>
      <c r="E21" s="28">
        <f t="shared" si="0"/>
        <v>-1.0261676387288874E-2</v>
      </c>
      <c r="J21" s="30">
        <v>41766</v>
      </c>
      <c r="K21" s="28">
        <v>18.67831</v>
      </c>
      <c r="L21" s="28">
        <f t="shared" si="1"/>
        <v>-1.094895639212812E-3</v>
      </c>
      <c r="M21" s="32">
        <v>1897.45</v>
      </c>
      <c r="N21" s="28">
        <f t="shared" si="1"/>
        <v>1.5792443841371871E-2</v>
      </c>
    </row>
    <row r="22" spans="1:14">
      <c r="A22" s="30">
        <v>41669</v>
      </c>
      <c r="B22" s="28">
        <v>15.628382</v>
      </c>
      <c r="C22" s="28">
        <f t="shared" si="0"/>
        <v>-1.9384360407903299E-3</v>
      </c>
      <c r="D22" s="31">
        <v>1794.19</v>
      </c>
      <c r="E22" s="28">
        <f t="shared" si="0"/>
        <v>1.1204049508506285E-2</v>
      </c>
      <c r="J22" s="30">
        <v>41773</v>
      </c>
      <c r="K22" s="28">
        <v>19.129026</v>
      </c>
      <c r="L22" s="28">
        <f t="shared" si="1"/>
        <v>2.3843909746578074E-2</v>
      </c>
      <c r="M22" s="32">
        <v>1872.83</v>
      </c>
      <c r="N22" s="28">
        <f t="shared" si="1"/>
        <v>-1.3060223617684403E-2</v>
      </c>
    </row>
    <row r="23" spans="1:14">
      <c r="A23" s="30">
        <v>41670</v>
      </c>
      <c r="B23" s="28">
        <v>15.654019</v>
      </c>
      <c r="C23" s="28">
        <f t="shared" si="0"/>
        <v>1.6390689282183989E-3</v>
      </c>
      <c r="D23" s="31">
        <v>1782.59</v>
      </c>
      <c r="E23" s="28">
        <f t="shared" si="0"/>
        <v>-6.4863036975730442E-3</v>
      </c>
      <c r="J23" s="30">
        <v>41780</v>
      </c>
      <c r="K23" s="28">
        <v>19.790797999999999</v>
      </c>
      <c r="L23" s="28">
        <f t="shared" si="1"/>
        <v>3.4010214834721123E-2</v>
      </c>
      <c r="M23" s="32">
        <v>1911.91</v>
      </c>
      <c r="N23" s="28">
        <f t="shared" si="1"/>
        <v>2.0652086529971046E-2</v>
      </c>
    </row>
    <row r="24" spans="1:14">
      <c r="A24" s="30">
        <v>41673</v>
      </c>
      <c r="B24" s="28">
        <v>15.683097999999999</v>
      </c>
      <c r="C24" s="28">
        <f t="shared" si="0"/>
        <v>1.8558828080069494E-3</v>
      </c>
      <c r="D24" s="31">
        <v>1741.89</v>
      </c>
      <c r="E24" s="28">
        <f t="shared" si="0"/>
        <v>-2.3096632288166549E-2</v>
      </c>
      <c r="J24" s="30">
        <v>41787</v>
      </c>
      <c r="K24" s="28">
        <v>20.167555</v>
      </c>
      <c r="L24" s="28">
        <f t="shared" si="1"/>
        <v>1.8858042788146019E-2</v>
      </c>
      <c r="M24" s="32">
        <v>1924.24</v>
      </c>
      <c r="N24" s="28">
        <f t="shared" si="1"/>
        <v>6.4283421972303745E-3</v>
      </c>
    </row>
    <row r="25" spans="1:14">
      <c r="A25" s="30">
        <v>41674</v>
      </c>
      <c r="B25" s="28">
        <v>15.910119999999999</v>
      </c>
      <c r="C25" s="28">
        <f t="shared" si="0"/>
        <v>1.437181281019668E-2</v>
      </c>
      <c r="D25" s="31">
        <v>1755.2</v>
      </c>
      <c r="E25" s="28">
        <f t="shared" si="0"/>
        <v>7.6120799117127824E-3</v>
      </c>
      <c r="J25" s="30">
        <v>41794</v>
      </c>
      <c r="K25" s="28">
        <v>20.870125000000002</v>
      </c>
      <c r="L25" s="28">
        <f t="shared" si="1"/>
        <v>3.424358554441731E-2</v>
      </c>
      <c r="M25" s="32">
        <v>1950.79</v>
      </c>
      <c r="N25" s="28">
        <f t="shared" si="1"/>
        <v>1.3703334149657563E-2</v>
      </c>
    </row>
    <row r="26" spans="1:14">
      <c r="A26" s="30">
        <v>41675</v>
      </c>
      <c r="B26" s="28">
        <v>16.028948</v>
      </c>
      <c r="C26" s="28">
        <f t="shared" si="0"/>
        <v>7.4409527710508818E-3</v>
      </c>
      <c r="D26" s="31">
        <v>1751.64</v>
      </c>
      <c r="E26" s="28">
        <f t="shared" si="0"/>
        <v>-2.0303185904787225E-3</v>
      </c>
      <c r="J26" s="30">
        <v>41801</v>
      </c>
      <c r="K26" s="28">
        <v>20.389620000000001</v>
      </c>
      <c r="L26" s="28">
        <f t="shared" si="1"/>
        <v>-2.3292762703587183E-2</v>
      </c>
      <c r="M26" s="32">
        <v>1941.99</v>
      </c>
      <c r="N26" s="28">
        <f t="shared" si="1"/>
        <v>-4.5211982132217542E-3</v>
      </c>
    </row>
    <row r="27" spans="1:14">
      <c r="A27" s="30">
        <v>41676</v>
      </c>
      <c r="B27" s="28">
        <v>16.122378999999999</v>
      </c>
      <c r="C27" s="28">
        <f t="shared" si="0"/>
        <v>5.8119693162419503E-3</v>
      </c>
      <c r="D27" s="31">
        <v>1773.43</v>
      </c>
      <c r="E27" s="28">
        <f t="shared" si="0"/>
        <v>1.2363032529603139E-2</v>
      </c>
      <c r="J27" s="30">
        <v>41808</v>
      </c>
      <c r="K27" s="28">
        <v>19.991039000000001</v>
      </c>
      <c r="L27" s="28">
        <f t="shared" si="1"/>
        <v>-1.9741824676540627E-2</v>
      </c>
      <c r="M27" s="32">
        <v>1949.98</v>
      </c>
      <c r="N27" s="28">
        <f t="shared" si="1"/>
        <v>4.105895587513295E-3</v>
      </c>
    </row>
    <row r="28" spans="1:14">
      <c r="A28" s="30">
        <v>41677</v>
      </c>
      <c r="B28" s="28">
        <v>16.347923000000002</v>
      </c>
      <c r="C28" s="28">
        <f t="shared" si="0"/>
        <v>1.3892548799971182E-2</v>
      </c>
      <c r="D28" s="31">
        <v>1797.02</v>
      </c>
      <c r="E28" s="28">
        <f t="shared" si="0"/>
        <v>1.3214212922079903E-2</v>
      </c>
      <c r="J28" s="30">
        <v>41815</v>
      </c>
      <c r="K28" s="28">
        <v>20.708487000000002</v>
      </c>
      <c r="L28" s="28">
        <f t="shared" si="1"/>
        <v>3.5259493094692194E-2</v>
      </c>
      <c r="M28" s="32">
        <v>1973.32</v>
      </c>
      <c r="N28" s="28">
        <f t="shared" si="1"/>
        <v>1.1898287335419137E-2</v>
      </c>
    </row>
    <row r="29" spans="1:14">
      <c r="A29" s="30">
        <v>41680</v>
      </c>
      <c r="B29" s="28">
        <v>16.640803999999999</v>
      </c>
      <c r="C29" s="28">
        <f t="shared" si="0"/>
        <v>1.7756895898848768E-2</v>
      </c>
      <c r="D29" s="31">
        <v>1799.84</v>
      </c>
      <c r="E29" s="28">
        <f t="shared" si="0"/>
        <v>1.5680346623456046E-3</v>
      </c>
      <c r="J29" s="30">
        <v>41822</v>
      </c>
      <c r="K29" s="28">
        <v>21.113705</v>
      </c>
      <c r="L29" s="28">
        <f t="shared" si="1"/>
        <v>1.9378739453323083E-2</v>
      </c>
      <c r="M29" s="32">
        <v>1963.71</v>
      </c>
      <c r="N29" s="28">
        <f t="shared" si="1"/>
        <v>-4.8818622595794298E-3</v>
      </c>
    </row>
    <row r="30" spans="1:14">
      <c r="A30" s="30">
        <v>41681</v>
      </c>
      <c r="B30" s="28">
        <v>16.860064999999999</v>
      </c>
      <c r="C30" s="28">
        <f t="shared" si="0"/>
        <v>1.3090056311532695E-2</v>
      </c>
      <c r="D30" s="31">
        <v>1819.75</v>
      </c>
      <c r="E30" s="28">
        <f t="shared" si="0"/>
        <v>1.1001356953851574E-2</v>
      </c>
      <c r="J30" s="30">
        <v>41829</v>
      </c>
      <c r="K30" s="28">
        <v>21.107064999999999</v>
      </c>
      <c r="L30" s="28">
        <f t="shared" si="1"/>
        <v>-3.1453713680462203E-4</v>
      </c>
      <c r="M30" s="32">
        <v>1973.28</v>
      </c>
      <c r="N30" s="28">
        <f t="shared" si="1"/>
        <v>4.8615916468994257E-3</v>
      </c>
    </row>
    <row r="31" spans="1:14">
      <c r="A31" s="30">
        <v>41682</v>
      </c>
      <c r="B31" s="28">
        <v>16.858806999999999</v>
      </c>
      <c r="C31" s="28">
        <f t="shared" si="0"/>
        <v>-7.4616968241596036E-5</v>
      </c>
      <c r="D31" s="31">
        <v>1819.26</v>
      </c>
      <c r="E31" s="28">
        <f t="shared" si="0"/>
        <v>-2.6930401563143885E-4</v>
      </c>
      <c r="J31" s="30">
        <v>41836</v>
      </c>
      <c r="K31" s="28">
        <v>20.974202999999999</v>
      </c>
      <c r="L31" s="28">
        <f t="shared" si="1"/>
        <v>-6.3145645456761301E-3</v>
      </c>
      <c r="M31" s="32">
        <v>1983.53</v>
      </c>
      <c r="N31" s="28">
        <f t="shared" si="1"/>
        <v>5.180952801758806E-3</v>
      </c>
    </row>
    <row r="32" spans="1:14">
      <c r="A32" s="30">
        <v>41683</v>
      </c>
      <c r="B32" s="28">
        <v>17.126508999999999</v>
      </c>
      <c r="C32" s="28">
        <f t="shared" si="0"/>
        <v>1.5754306177751445E-2</v>
      </c>
      <c r="D32" s="31">
        <v>1829.83</v>
      </c>
      <c r="E32" s="28">
        <f t="shared" si="0"/>
        <v>5.7932413627504236E-3</v>
      </c>
      <c r="J32" s="30">
        <v>41843</v>
      </c>
      <c r="K32" s="28">
        <v>21.784652999999999</v>
      </c>
      <c r="L32" s="28">
        <f t="shared" si="1"/>
        <v>3.7912477036320093E-2</v>
      </c>
      <c r="M32" s="32">
        <v>1969.95</v>
      </c>
      <c r="N32" s="28">
        <f t="shared" si="1"/>
        <v>-6.8699239201582144E-3</v>
      </c>
    </row>
    <row r="33" spans="1:14">
      <c r="A33" s="30">
        <v>41684</v>
      </c>
      <c r="B33" s="28">
        <v>17.112669</v>
      </c>
      <c r="C33" s="28">
        <f t="shared" si="0"/>
        <v>-8.0843066698456617E-4</v>
      </c>
      <c r="D33" s="31">
        <v>1838.63</v>
      </c>
      <c r="E33" s="28">
        <f t="shared" si="0"/>
        <v>4.7976627138052634E-3</v>
      </c>
      <c r="J33" s="30">
        <v>41850</v>
      </c>
      <c r="K33" s="28">
        <v>21.062777000000001</v>
      </c>
      <c r="L33" s="28">
        <f t="shared" si="1"/>
        <v>-3.3698371690038427E-2</v>
      </c>
      <c r="M33" s="32">
        <v>1920.21</v>
      </c>
      <c r="N33" s="28">
        <f t="shared" si="1"/>
        <v>-2.5573606658460524E-2</v>
      </c>
    </row>
    <row r="34" spans="1:14">
      <c r="A34" s="30">
        <v>41688</v>
      </c>
      <c r="B34" s="28">
        <v>17.175581000000001</v>
      </c>
      <c r="C34" s="28">
        <f t="shared" si="0"/>
        <v>3.6695993874007013E-3</v>
      </c>
      <c r="D34" s="31">
        <v>1840.76</v>
      </c>
      <c r="E34" s="28">
        <f t="shared" si="0"/>
        <v>1.1578007430249318E-3</v>
      </c>
      <c r="J34" s="30">
        <v>41857</v>
      </c>
      <c r="K34" s="28">
        <v>21.250999</v>
      </c>
      <c r="L34" s="28">
        <f t="shared" si="1"/>
        <v>8.8965466686993389E-3</v>
      </c>
      <c r="M34" s="32">
        <v>1933.75</v>
      </c>
      <c r="N34" s="28">
        <f t="shared" si="1"/>
        <v>7.0265678464579246E-3</v>
      </c>
    </row>
    <row r="35" spans="1:14">
      <c r="A35" s="30">
        <v>41689</v>
      </c>
      <c r="B35" s="28">
        <v>16.904419000000001</v>
      </c>
      <c r="C35" s="28">
        <f t="shared" si="0"/>
        <v>-1.5913598735752953E-2</v>
      </c>
      <c r="D35" s="31">
        <v>1828.75</v>
      </c>
      <c r="E35" s="28">
        <f t="shared" si="0"/>
        <v>-6.5458564679824966E-3</v>
      </c>
      <c r="J35" s="30">
        <v>41864</v>
      </c>
      <c r="K35" s="28">
        <v>22.371455999999998</v>
      </c>
      <c r="L35" s="28">
        <f t="shared" si="1"/>
        <v>5.1381954524164199E-2</v>
      </c>
      <c r="M35" s="32">
        <v>1981.6</v>
      </c>
      <c r="N35" s="28">
        <f t="shared" si="1"/>
        <v>2.4443476287873796E-2</v>
      </c>
    </row>
    <row r="36" spans="1:14">
      <c r="A36" s="30">
        <v>41690</v>
      </c>
      <c r="B36" s="28">
        <v>16.708755</v>
      </c>
      <c r="C36" s="28">
        <f t="shared" si="0"/>
        <v>-1.1642233491308393E-2</v>
      </c>
      <c r="D36" s="31">
        <v>1839.78</v>
      </c>
      <c r="E36" s="28">
        <f t="shared" si="0"/>
        <v>6.0133259028154577E-3</v>
      </c>
      <c r="J36" s="30">
        <v>41871</v>
      </c>
      <c r="K36" s="28">
        <v>22.451574000000001</v>
      </c>
      <c r="L36" s="28">
        <f t="shared" si="1"/>
        <v>3.5748625348738742E-3</v>
      </c>
      <c r="M36" s="32">
        <v>2000.02</v>
      </c>
      <c r="N36" s="28">
        <f t="shared" si="1"/>
        <v>9.2525813169330364E-3</v>
      </c>
    </row>
    <row r="37" spans="1:14">
      <c r="A37" s="30">
        <v>41691</v>
      </c>
      <c r="B37" s="28">
        <v>16.523153000000001</v>
      </c>
      <c r="C37" s="28">
        <f t="shared" si="0"/>
        <v>-1.1170224102281627E-2</v>
      </c>
      <c r="D37" s="31">
        <v>1836.25</v>
      </c>
      <c r="E37" s="28">
        <f t="shared" si="0"/>
        <v>-1.9205507490625245E-3</v>
      </c>
      <c r="J37" s="30">
        <v>41878</v>
      </c>
      <c r="K37" s="28">
        <v>22.987883</v>
      </c>
      <c r="L37" s="28">
        <f t="shared" si="1"/>
        <v>2.3606527931420093E-2</v>
      </c>
      <c r="M37" s="32">
        <v>2002.28</v>
      </c>
      <c r="N37" s="28">
        <f t="shared" si="1"/>
        <v>1.1293507434258618E-3</v>
      </c>
    </row>
    <row r="38" spans="1:14">
      <c r="A38" s="30">
        <v>41694</v>
      </c>
      <c r="B38" s="28">
        <v>16.595503000000001</v>
      </c>
      <c r="C38" s="28">
        <f t="shared" si="0"/>
        <v>4.3691456013999833E-3</v>
      </c>
      <c r="D38" s="31">
        <v>1847.61</v>
      </c>
      <c r="E38" s="28">
        <f t="shared" si="0"/>
        <v>6.167463480648212E-3</v>
      </c>
      <c r="J38" s="30">
        <v>41885</v>
      </c>
      <c r="K38" s="28">
        <v>21.806217</v>
      </c>
      <c r="L38" s="28">
        <f t="shared" si="1"/>
        <v>-5.2772138396370412E-2</v>
      </c>
      <c r="M38" s="32">
        <v>1988.44</v>
      </c>
      <c r="N38" s="28">
        <f t="shared" si="1"/>
        <v>-6.9361195406035664E-3</v>
      </c>
    </row>
    <row r="39" spans="1:14">
      <c r="A39" s="30">
        <v>41695</v>
      </c>
      <c r="B39" s="28">
        <v>16.422802000000001</v>
      </c>
      <c r="C39" s="28">
        <f t="shared" si="0"/>
        <v>-1.046102002683911E-2</v>
      </c>
      <c r="D39" s="31">
        <v>1845.12</v>
      </c>
      <c r="E39" s="28">
        <f t="shared" si="0"/>
        <v>-1.3485959587527492E-3</v>
      </c>
      <c r="J39" s="30">
        <v>41892</v>
      </c>
      <c r="K39" s="28">
        <v>22.444893</v>
      </c>
      <c r="L39" s="28">
        <f t="shared" si="1"/>
        <v>2.8867992389598775E-2</v>
      </c>
      <c r="M39" s="32">
        <v>1998.98</v>
      </c>
      <c r="N39" s="28">
        <f t="shared" si="1"/>
        <v>5.2866387529434686E-3</v>
      </c>
    </row>
    <row r="40" spans="1:14">
      <c r="A40" s="30">
        <v>41696</v>
      </c>
      <c r="B40" s="28">
        <v>16.274635</v>
      </c>
      <c r="C40" s="28">
        <f t="shared" si="0"/>
        <v>-9.062974212375086E-3</v>
      </c>
      <c r="D40" s="31">
        <v>1845.16</v>
      </c>
      <c r="E40" s="28">
        <f t="shared" si="0"/>
        <v>2.1678571816661324E-5</v>
      </c>
      <c r="J40" s="30">
        <v>41899</v>
      </c>
      <c r="K40" s="28">
        <v>22.841007000000001</v>
      </c>
      <c r="L40" s="28">
        <f t="shared" si="1"/>
        <v>1.7494368119092045E-2</v>
      </c>
      <c r="M40" s="32">
        <v>1982.77</v>
      </c>
      <c r="N40" s="28">
        <f t="shared" si="1"/>
        <v>-8.1421935349146896E-3</v>
      </c>
    </row>
    <row r="41" spans="1:14">
      <c r="A41" s="30">
        <v>41697</v>
      </c>
      <c r="B41" s="28">
        <v>16.599284999999998</v>
      </c>
      <c r="C41" s="28">
        <f t="shared" si="0"/>
        <v>1.9751861337890118E-2</v>
      </c>
      <c r="D41" s="31">
        <v>1854.29</v>
      </c>
      <c r="E41" s="28">
        <f t="shared" si="0"/>
        <v>4.9358788663713881E-3</v>
      </c>
      <c r="J41" s="30">
        <v>41906</v>
      </c>
      <c r="K41" s="28">
        <v>22.42042</v>
      </c>
      <c r="L41" s="28">
        <f t="shared" si="1"/>
        <v>-1.8585322390480975E-2</v>
      </c>
      <c r="M41" s="32">
        <v>1972.29</v>
      </c>
      <c r="N41" s="28">
        <f t="shared" si="1"/>
        <v>-5.2995527389124754E-3</v>
      </c>
    </row>
    <row r="42" spans="1:14">
      <c r="A42" s="30">
        <v>41698</v>
      </c>
      <c r="B42" s="28">
        <v>16.554295</v>
      </c>
      <c r="C42" s="28">
        <f t="shared" si="0"/>
        <v>-2.7140373749292143E-3</v>
      </c>
      <c r="D42" s="31">
        <v>1859.45</v>
      </c>
      <c r="E42" s="28">
        <f t="shared" si="0"/>
        <v>2.778871606797594E-3</v>
      </c>
      <c r="J42" s="30">
        <v>41913</v>
      </c>
      <c r="K42" s="28">
        <v>21.975344</v>
      </c>
      <c r="L42" s="28">
        <f t="shared" si="1"/>
        <v>-2.0051053141249213E-2</v>
      </c>
      <c r="M42" s="32">
        <v>1935.1</v>
      </c>
      <c r="N42" s="28">
        <f t="shared" si="1"/>
        <v>-1.9036299458919746E-2</v>
      </c>
    </row>
    <row r="43" spans="1:14">
      <c r="A43" s="30">
        <v>41701</v>
      </c>
      <c r="B43" s="28">
        <v>16.60211</v>
      </c>
      <c r="C43" s="28">
        <f t="shared" si="0"/>
        <v>2.8842109478661409E-3</v>
      </c>
      <c r="D43" s="31">
        <v>1845.73</v>
      </c>
      <c r="E43" s="28">
        <f t="shared" si="0"/>
        <v>-7.4058818780435871E-3</v>
      </c>
      <c r="J43" s="30">
        <v>41920</v>
      </c>
      <c r="K43" s="28">
        <v>21.975344</v>
      </c>
      <c r="L43" s="28">
        <f t="shared" si="1"/>
        <v>0</v>
      </c>
      <c r="M43" s="32">
        <v>1877.7</v>
      </c>
      <c r="N43" s="28">
        <f t="shared" si="1"/>
        <v>-3.0111381116336097E-2</v>
      </c>
    </row>
    <row r="44" spans="1:14">
      <c r="A44" s="30">
        <v>41702</v>
      </c>
      <c r="B44" s="28">
        <v>16.711577999999999</v>
      </c>
      <c r="C44" s="28">
        <f t="shared" si="0"/>
        <v>6.5719769003854383E-3</v>
      </c>
      <c r="D44" s="31">
        <v>1873.91</v>
      </c>
      <c r="E44" s="28">
        <f t="shared" si="0"/>
        <v>1.5152293854515365E-2</v>
      </c>
      <c r="J44" s="30">
        <v>41927</v>
      </c>
      <c r="K44" s="28">
        <v>22.803177000000002</v>
      </c>
      <c r="L44" s="28">
        <f t="shared" si="1"/>
        <v>3.6978770757287283E-2</v>
      </c>
      <c r="M44" s="32">
        <v>1941.28</v>
      </c>
      <c r="N44" s="28">
        <f t="shared" si="1"/>
        <v>3.3299925704797409E-2</v>
      </c>
    </row>
    <row r="45" spans="1:14">
      <c r="A45" s="30">
        <v>41703</v>
      </c>
      <c r="B45" s="28">
        <v>16.746813</v>
      </c>
      <c r="C45" s="28">
        <f t="shared" si="0"/>
        <v>2.1061988919563448E-3</v>
      </c>
      <c r="D45" s="31">
        <v>1873.81</v>
      </c>
      <c r="E45" s="28">
        <f t="shared" si="0"/>
        <v>-5.3365779740162576E-5</v>
      </c>
      <c r="J45" s="30">
        <v>41934</v>
      </c>
      <c r="K45" s="28">
        <v>23.753402999999999</v>
      </c>
      <c r="L45" s="28">
        <f t="shared" si="1"/>
        <v>4.0825936068525429E-2</v>
      </c>
      <c r="M45" s="32">
        <v>1985.05</v>
      </c>
      <c r="N45" s="28">
        <f t="shared" si="1"/>
        <v>2.2296553417369067E-2</v>
      </c>
    </row>
    <row r="46" spans="1:14">
      <c r="A46" s="30">
        <v>41704</v>
      </c>
      <c r="B46" s="28">
        <v>16.696169000000001</v>
      </c>
      <c r="C46" s="28">
        <f t="shared" si="0"/>
        <v>-3.0286796023565998E-3</v>
      </c>
      <c r="D46" s="31">
        <v>1877.03</v>
      </c>
      <c r="E46" s="28">
        <f t="shared" si="0"/>
        <v>1.716949158601179E-3</v>
      </c>
      <c r="J46" s="30">
        <v>41941</v>
      </c>
      <c r="K46" s="28">
        <v>24.167321999999999</v>
      </c>
      <c r="L46" s="28">
        <f t="shared" si="1"/>
        <v>1.727558563925858E-2</v>
      </c>
      <c r="M46" s="32">
        <v>2012.1</v>
      </c>
      <c r="N46" s="28">
        <f t="shared" si="1"/>
        <v>1.3534850052869236E-2</v>
      </c>
    </row>
    <row r="47" spans="1:14">
      <c r="A47" s="30">
        <v>41705</v>
      </c>
      <c r="B47" s="28">
        <v>16.686419000000001</v>
      </c>
      <c r="C47" s="28">
        <f t="shared" si="0"/>
        <v>-5.8413687262584351E-4</v>
      </c>
      <c r="D47" s="31">
        <v>1878.04</v>
      </c>
      <c r="E47" s="28">
        <f t="shared" si="0"/>
        <v>5.3793938560730995E-4</v>
      </c>
      <c r="J47" s="30">
        <v>41948</v>
      </c>
      <c r="K47" s="28">
        <v>24.412109000000001</v>
      </c>
      <c r="L47" s="28">
        <f t="shared" si="1"/>
        <v>1.0077889623252222E-2</v>
      </c>
      <c r="M47" s="32">
        <v>2039.68</v>
      </c>
      <c r="N47" s="28">
        <f t="shared" si="1"/>
        <v>1.3613980015115722E-2</v>
      </c>
    </row>
    <row r="48" spans="1:14">
      <c r="A48" s="30">
        <v>41708</v>
      </c>
      <c r="B48" s="28">
        <v>16.701523000000002</v>
      </c>
      <c r="C48" s="28">
        <f t="shared" si="0"/>
        <v>9.047578332518028E-4</v>
      </c>
      <c r="D48" s="31">
        <v>1877.17</v>
      </c>
      <c r="E48" s="28">
        <f t="shared" si="0"/>
        <v>-4.633562520154853E-4</v>
      </c>
      <c r="J48" s="30">
        <v>41955</v>
      </c>
      <c r="K48" s="28">
        <v>25.807558</v>
      </c>
      <c r="L48" s="28">
        <f t="shared" si="1"/>
        <v>5.5588115074296708E-2</v>
      </c>
      <c r="M48" s="32">
        <v>2051.8000000000002</v>
      </c>
      <c r="N48" s="28">
        <f t="shared" si="1"/>
        <v>5.9245238646954933E-3</v>
      </c>
    </row>
    <row r="49" spans="1:14">
      <c r="A49" s="30">
        <v>41709</v>
      </c>
      <c r="B49" s="28">
        <v>16.864149000000001</v>
      </c>
      <c r="C49" s="28">
        <f t="shared" si="0"/>
        <v>9.6900948396632883E-3</v>
      </c>
      <c r="D49" s="31">
        <v>1867.63</v>
      </c>
      <c r="E49" s="28">
        <f t="shared" si="0"/>
        <v>-5.0950761792528144E-3</v>
      </c>
      <c r="J49" s="30">
        <v>41962</v>
      </c>
      <c r="K49" s="28">
        <v>26.283617</v>
      </c>
      <c r="L49" s="28">
        <f t="shared" si="1"/>
        <v>1.8278422563177025E-2</v>
      </c>
      <c r="M49" s="32">
        <v>2067.0300000000002</v>
      </c>
      <c r="N49" s="28">
        <f t="shared" si="1"/>
        <v>7.3953377109306313E-3</v>
      </c>
    </row>
    <row r="50" spans="1:14">
      <c r="A50" s="30">
        <v>41710</v>
      </c>
      <c r="B50" s="28">
        <v>16.880514000000002</v>
      </c>
      <c r="C50" s="28">
        <f t="shared" si="0"/>
        <v>9.6993123226445696E-4</v>
      </c>
      <c r="D50" s="31">
        <v>1868.2</v>
      </c>
      <c r="E50" s="28">
        <f t="shared" si="0"/>
        <v>3.0515307410829926E-4</v>
      </c>
      <c r="J50" s="30">
        <v>41969</v>
      </c>
      <c r="K50" s="28">
        <v>25.619820000000001</v>
      </c>
      <c r="L50" s="28">
        <f t="shared" si="1"/>
        <v>-2.557954664417544E-2</v>
      </c>
      <c r="M50" s="32">
        <v>2066.5500000000002</v>
      </c>
      <c r="N50" s="28">
        <f t="shared" si="1"/>
        <v>-2.322442058252009E-4</v>
      </c>
    </row>
    <row r="51" spans="1:14">
      <c r="A51" s="30">
        <v>41711</v>
      </c>
      <c r="B51" s="28">
        <v>16.693028999999999</v>
      </c>
      <c r="C51" s="28">
        <f t="shared" si="0"/>
        <v>-1.116873181430008E-2</v>
      </c>
      <c r="D51" s="31">
        <v>1846.34</v>
      </c>
      <c r="E51" s="28">
        <f t="shared" si="0"/>
        <v>-1.1770099320208021E-2</v>
      </c>
      <c r="J51" s="30">
        <v>41976</v>
      </c>
      <c r="K51" s="28">
        <v>25.505832999999999</v>
      </c>
      <c r="L51" s="28">
        <f t="shared" si="1"/>
        <v>-4.459099578534657E-3</v>
      </c>
      <c r="M51" s="32">
        <v>2059.8200000000002</v>
      </c>
      <c r="N51" s="28">
        <f t="shared" si="1"/>
        <v>-3.2619498336035509E-3</v>
      </c>
    </row>
    <row r="52" spans="1:14">
      <c r="A52" s="30">
        <v>41712</v>
      </c>
      <c r="B52" s="28">
        <v>16.505538999999999</v>
      </c>
      <c r="C52" s="28">
        <f t="shared" si="0"/>
        <v>-1.1295185584267753E-2</v>
      </c>
      <c r="D52" s="31">
        <v>1841.13</v>
      </c>
      <c r="E52" s="28">
        <f t="shared" si="0"/>
        <v>-2.8257875816496739E-3</v>
      </c>
      <c r="J52" s="30">
        <v>41983</v>
      </c>
      <c r="K52" s="28">
        <v>23.858640999999999</v>
      </c>
      <c r="L52" s="28">
        <f t="shared" si="1"/>
        <v>-6.6760713307233099E-2</v>
      </c>
      <c r="M52" s="32">
        <v>1972.74</v>
      </c>
      <c r="N52" s="28">
        <f t="shared" si="1"/>
        <v>-4.3195161002842299E-2</v>
      </c>
    </row>
    <row r="53" spans="1:14">
      <c r="A53" s="30">
        <v>41715</v>
      </c>
      <c r="B53" s="28">
        <v>16.570028000000001</v>
      </c>
      <c r="C53" s="28">
        <f t="shared" si="0"/>
        <v>3.8994996952776513E-3</v>
      </c>
      <c r="D53" s="31">
        <v>1858.83</v>
      </c>
      <c r="E53" s="28">
        <f t="shared" si="0"/>
        <v>9.567743988496134E-3</v>
      </c>
      <c r="J53" s="30">
        <v>41990</v>
      </c>
      <c r="K53" s="28">
        <v>25.152704</v>
      </c>
      <c r="L53" s="28">
        <f t="shared" si="1"/>
        <v>5.2818947879955717E-2</v>
      </c>
      <c r="M53" s="32">
        <v>2082.17</v>
      </c>
      <c r="N53" s="28">
        <f t="shared" si="1"/>
        <v>5.3987179776722731E-2</v>
      </c>
    </row>
    <row r="54" spans="1:14">
      <c r="A54" s="30">
        <v>41716</v>
      </c>
      <c r="B54" s="28">
        <v>16.716612000000001</v>
      </c>
      <c r="C54" s="28">
        <f t="shared" si="0"/>
        <v>8.8074343071674437E-3</v>
      </c>
      <c r="D54" s="31">
        <v>1872.25</v>
      </c>
      <c r="E54" s="28">
        <f t="shared" si="0"/>
        <v>7.1936586040894802E-3</v>
      </c>
      <c r="J54" s="30">
        <v>41997</v>
      </c>
      <c r="K54" s="28">
        <v>25.148230000000002</v>
      </c>
      <c r="L54" s="28">
        <f t="shared" si="1"/>
        <v>-1.7788934145021037E-4</v>
      </c>
      <c r="M54" s="32">
        <v>2080.35</v>
      </c>
      <c r="N54" s="28">
        <f t="shared" si="1"/>
        <v>-8.7447032854103273E-4</v>
      </c>
    </row>
    <row r="55" spans="1:14">
      <c r="A55" s="30">
        <v>41717</v>
      </c>
      <c r="B55" s="28">
        <v>16.712212000000001</v>
      </c>
      <c r="C55" s="28">
        <f t="shared" si="0"/>
        <v>-2.632458757992439E-4</v>
      </c>
      <c r="D55" s="31">
        <v>1860.77</v>
      </c>
      <c r="E55" s="28">
        <f t="shared" si="0"/>
        <v>-6.1505355930613122E-3</v>
      </c>
      <c r="J55" s="30">
        <v>42004</v>
      </c>
      <c r="K55" s="28">
        <v>23.749124999999999</v>
      </c>
      <c r="L55" s="28">
        <f t="shared" si="1"/>
        <v>-5.7241828638820928E-2</v>
      </c>
      <c r="M55" s="32">
        <v>2002.61</v>
      </c>
      <c r="N55" s="28">
        <f t="shared" si="1"/>
        <v>-3.8084819000779917E-2</v>
      </c>
    </row>
    <row r="56" spans="1:14">
      <c r="A56" s="30">
        <v>41718</v>
      </c>
      <c r="B56" s="28">
        <v>16.631674</v>
      </c>
      <c r="C56" s="28">
        <f t="shared" si="0"/>
        <v>-4.8307600752434043E-3</v>
      </c>
      <c r="D56" s="31">
        <v>1872.01</v>
      </c>
      <c r="E56" s="28">
        <f t="shared" si="0"/>
        <v>6.022339367196353E-3</v>
      </c>
      <c r="J56" s="30">
        <v>42011</v>
      </c>
      <c r="K56" s="28">
        <v>24.634186</v>
      </c>
      <c r="L56" s="28">
        <f t="shared" si="1"/>
        <v>3.658946533399151E-2</v>
      </c>
      <c r="M56" s="32">
        <v>2023.03</v>
      </c>
      <c r="N56" s="28">
        <f t="shared" si="1"/>
        <v>1.0145057749312554E-2</v>
      </c>
    </row>
    <row r="57" spans="1:14">
      <c r="A57" s="30">
        <v>41719</v>
      </c>
      <c r="B57" s="28">
        <v>16.762862999999999</v>
      </c>
      <c r="C57" s="28">
        <f t="shared" si="0"/>
        <v>7.8569542602912705E-3</v>
      </c>
      <c r="D57" s="31">
        <v>1866.52</v>
      </c>
      <c r="E57" s="28">
        <f t="shared" si="0"/>
        <v>-2.9369853639483641E-3</v>
      </c>
      <c r="J57" s="30">
        <v>42018</v>
      </c>
      <c r="K57" s="28">
        <v>24.298935</v>
      </c>
      <c r="L57" s="28">
        <f t="shared" si="1"/>
        <v>-1.3702630805120622E-2</v>
      </c>
      <c r="M57" s="32">
        <v>2022.55</v>
      </c>
      <c r="N57" s="28">
        <f t="shared" si="1"/>
        <v>-2.3729601305746102E-4</v>
      </c>
    </row>
    <row r="58" spans="1:14">
      <c r="A58" s="30">
        <v>41722</v>
      </c>
      <c r="B58" s="28">
        <v>16.961673999999999</v>
      </c>
      <c r="C58" s="28">
        <f t="shared" si="0"/>
        <v>1.1790424468837143E-2</v>
      </c>
      <c r="D58" s="31">
        <v>1857.44</v>
      </c>
      <c r="E58" s="28">
        <f t="shared" si="0"/>
        <v>-4.8765389499373611E-3</v>
      </c>
      <c r="J58" s="30">
        <v>42025</v>
      </c>
      <c r="K58" s="28">
        <v>24.392800999999999</v>
      </c>
      <c r="L58" s="28">
        <f t="shared" si="1"/>
        <v>3.855525556824807E-3</v>
      </c>
      <c r="M58" s="32">
        <v>2029.55</v>
      </c>
      <c r="N58" s="28">
        <f t="shared" si="1"/>
        <v>3.4550020795496902E-3</v>
      </c>
    </row>
    <row r="59" spans="1:14">
      <c r="A59" s="30">
        <v>41723</v>
      </c>
      <c r="B59" s="28">
        <v>17.144129</v>
      </c>
      <c r="C59" s="28">
        <f t="shared" si="0"/>
        <v>1.0699454318191999E-2</v>
      </c>
      <c r="D59" s="31">
        <v>1865.62</v>
      </c>
      <c r="E59" s="28">
        <f t="shared" si="0"/>
        <v>4.3942419206480258E-3</v>
      </c>
      <c r="J59" s="30">
        <v>42032</v>
      </c>
      <c r="K59" s="28">
        <v>26.518291000000001</v>
      </c>
      <c r="L59" s="28">
        <f t="shared" si="1"/>
        <v>8.3546673528177434E-2</v>
      </c>
      <c r="M59" s="32">
        <v>2050.0300000000002</v>
      </c>
      <c r="N59" s="28">
        <f t="shared" si="1"/>
        <v>1.0040333586238881E-2</v>
      </c>
    </row>
    <row r="60" spans="1:14">
      <c r="A60" s="30">
        <v>41724</v>
      </c>
      <c r="B60" s="28">
        <v>16.980232000000001</v>
      </c>
      <c r="C60" s="28">
        <f t="shared" si="0"/>
        <v>-9.6059387183743978E-3</v>
      </c>
      <c r="D60" s="31">
        <v>1852.56</v>
      </c>
      <c r="E60" s="28">
        <f t="shared" si="0"/>
        <v>-7.0249712006657423E-3</v>
      </c>
      <c r="J60" s="30">
        <v>42039</v>
      </c>
      <c r="K60" s="28">
        <v>27.271484000000001</v>
      </c>
      <c r="L60" s="28">
        <f t="shared" si="1"/>
        <v>2.800689284148724E-2</v>
      </c>
      <c r="M60" s="32">
        <v>2068.59</v>
      </c>
      <c r="N60" s="28">
        <f t="shared" si="1"/>
        <v>9.0127885729282039E-3</v>
      </c>
    </row>
    <row r="61" spans="1:14">
      <c r="A61" s="30">
        <v>41725</v>
      </c>
      <c r="B61" s="28">
        <v>16.907243999999999</v>
      </c>
      <c r="C61" s="28">
        <f t="shared" si="0"/>
        <v>-4.307674780153127E-3</v>
      </c>
      <c r="D61" s="31">
        <v>1849.04</v>
      </c>
      <c r="E61" s="28">
        <f t="shared" si="0"/>
        <v>-1.9018808412744233E-3</v>
      </c>
      <c r="J61" s="30">
        <v>42046</v>
      </c>
      <c r="K61" s="28">
        <v>28.682773999999998</v>
      </c>
      <c r="L61" s="28">
        <f t="shared" si="1"/>
        <v>5.0455119356716469E-2</v>
      </c>
      <c r="M61" s="32">
        <v>2100.34</v>
      </c>
      <c r="N61" s="28">
        <f t="shared" si="1"/>
        <v>1.523202062361232E-2</v>
      </c>
    </row>
    <row r="62" spans="1:14">
      <c r="A62" s="30">
        <v>41726</v>
      </c>
      <c r="B62" s="28">
        <v>16.888376000000001</v>
      </c>
      <c r="C62" s="28">
        <f t="shared" si="0"/>
        <v>-1.1165945149315751E-3</v>
      </c>
      <c r="D62" s="31">
        <v>1857.62</v>
      </c>
      <c r="E62" s="28">
        <f t="shared" si="0"/>
        <v>4.6295129977681881E-3</v>
      </c>
      <c r="J62" s="30">
        <v>42053</v>
      </c>
      <c r="K62" s="28">
        <v>29.656604999999999</v>
      </c>
      <c r="L62" s="28">
        <f t="shared" si="1"/>
        <v>3.3388132725036969E-2</v>
      </c>
      <c r="M62" s="32">
        <v>2115.48</v>
      </c>
      <c r="N62" s="28">
        <f t="shared" si="1"/>
        <v>7.1825007173945792E-3</v>
      </c>
    </row>
    <row r="63" spans="1:14">
      <c r="A63" s="30">
        <v>41729</v>
      </c>
      <c r="B63" s="28">
        <v>16.884594</v>
      </c>
      <c r="C63" s="28">
        <f t="shared" si="0"/>
        <v>-2.2396608979373734E-4</v>
      </c>
      <c r="D63" s="31">
        <v>1872.34</v>
      </c>
      <c r="E63" s="28">
        <f t="shared" si="0"/>
        <v>7.8928870113299885E-3</v>
      </c>
      <c r="J63" s="30">
        <v>42060</v>
      </c>
      <c r="K63" s="28">
        <v>29.026081000000001</v>
      </c>
      <c r="L63" s="28">
        <f t="shared" si="1"/>
        <v>-2.1490095588006505E-2</v>
      </c>
      <c r="M63" s="32">
        <v>2107.7800000000002</v>
      </c>
      <c r="N63" s="28">
        <f t="shared" si="1"/>
        <v>-3.646476197110283E-3</v>
      </c>
    </row>
    <row r="64" spans="1:14">
      <c r="A64" s="30">
        <v>41730</v>
      </c>
      <c r="B64" s="28">
        <v>17.039057</v>
      </c>
      <c r="C64" s="28">
        <f t="shared" si="0"/>
        <v>9.1065709561667391E-3</v>
      </c>
      <c r="D64" s="31">
        <v>1885.52</v>
      </c>
      <c r="E64" s="28">
        <f t="shared" si="0"/>
        <v>7.0146594306005365E-3</v>
      </c>
      <c r="J64" s="30">
        <v>42067</v>
      </c>
      <c r="K64" s="28">
        <v>27.937828</v>
      </c>
      <c r="L64" s="28">
        <f t="shared" si="1"/>
        <v>-3.8213157848768504E-2</v>
      </c>
      <c r="M64" s="32">
        <v>2044.16</v>
      </c>
      <c r="N64" s="28">
        <f t="shared" si="1"/>
        <v>-3.0648313742003861E-2</v>
      </c>
    </row>
    <row r="65" spans="1:14">
      <c r="A65" s="30">
        <v>41731</v>
      </c>
      <c r="B65" s="28">
        <v>17.067368999999999</v>
      </c>
      <c r="C65" s="28">
        <f t="shared" si="0"/>
        <v>1.6602153801202799E-3</v>
      </c>
      <c r="D65" s="31">
        <v>1890.9</v>
      </c>
      <c r="E65" s="28">
        <f t="shared" si="0"/>
        <v>2.8492612790418292E-3</v>
      </c>
      <c r="J65" s="30">
        <v>42074</v>
      </c>
      <c r="K65" s="28">
        <v>28.505512</v>
      </c>
      <c r="L65" s="28">
        <f t="shared" si="1"/>
        <v>2.0115859286290675E-2</v>
      </c>
      <c r="M65" s="32">
        <v>2074.2800000000002</v>
      </c>
      <c r="N65" s="28">
        <f t="shared" si="1"/>
        <v>1.4627158352204482E-2</v>
      </c>
    </row>
    <row r="66" spans="1:14">
      <c r="A66" s="30">
        <v>41732</v>
      </c>
      <c r="B66" s="28">
        <v>16.949086999999999</v>
      </c>
      <c r="C66" s="28">
        <f t="shared" si="0"/>
        <v>-6.9544268054272445E-3</v>
      </c>
      <c r="D66" s="31">
        <v>1888.77</v>
      </c>
      <c r="E66" s="28">
        <f t="shared" si="0"/>
        <v>-1.1270826423899496E-3</v>
      </c>
      <c r="J66" s="30">
        <v>42081</v>
      </c>
      <c r="K66" s="28">
        <v>28.426981000000001</v>
      </c>
      <c r="L66" s="28">
        <f t="shared" si="1"/>
        <v>-2.758742702732628E-3</v>
      </c>
      <c r="M66" s="32">
        <v>2091.5</v>
      </c>
      <c r="N66" s="28">
        <f t="shared" si="1"/>
        <v>8.2674063835104176E-3</v>
      </c>
    </row>
    <row r="67" spans="1:14">
      <c r="A67" s="30">
        <v>41733</v>
      </c>
      <c r="B67" s="28">
        <v>16.729824000000001</v>
      </c>
      <c r="C67" s="28">
        <f t="shared" si="0"/>
        <v>-1.3020973149452988E-2</v>
      </c>
      <c r="D67" s="31">
        <v>1865.09</v>
      </c>
      <c r="E67" s="28">
        <f t="shared" si="0"/>
        <v>-1.2616514258563742E-2</v>
      </c>
      <c r="J67" s="30">
        <v>42088</v>
      </c>
      <c r="K67" s="28">
        <v>27.919875999999999</v>
      </c>
      <c r="L67" s="28">
        <f t="shared" si="1"/>
        <v>-1.7999892757032388E-2</v>
      </c>
      <c r="M67" s="32">
        <v>2067.89</v>
      </c>
      <c r="N67" s="28">
        <f t="shared" si="1"/>
        <v>-1.1352748158012599E-2</v>
      </c>
    </row>
    <row r="68" spans="1:14">
      <c r="A68" s="30">
        <v>41736</v>
      </c>
      <c r="B68" s="28">
        <v>16.467158999999999</v>
      </c>
      <c r="C68" s="28">
        <f t="shared" si="0"/>
        <v>-1.5824961055255278E-2</v>
      </c>
      <c r="D68" s="31">
        <v>1845.04</v>
      </c>
      <c r="E68" s="28">
        <f t="shared" si="0"/>
        <v>-1.0808351829803234E-2</v>
      </c>
      <c r="J68" s="30">
        <v>42095</v>
      </c>
      <c r="K68" s="28">
        <v>28.274398999999999</v>
      </c>
      <c r="L68" s="28">
        <f t="shared" si="1"/>
        <v>1.261792962663486E-2</v>
      </c>
      <c r="M68" s="32">
        <v>2076.33</v>
      </c>
      <c r="N68" s="28">
        <f t="shared" si="1"/>
        <v>4.073148466382368E-3</v>
      </c>
    </row>
    <row r="69" spans="1:14">
      <c r="A69" s="30">
        <v>41737</v>
      </c>
      <c r="B69" s="28">
        <v>16.466214999999998</v>
      </c>
      <c r="C69" s="28">
        <f t="shared" ref="C69:E132" si="2">LN(B69/B68)</f>
        <v>-5.7327864448950046E-5</v>
      </c>
      <c r="D69" s="31">
        <v>1851.96</v>
      </c>
      <c r="E69" s="28">
        <f t="shared" si="2"/>
        <v>3.7435802443231501E-3</v>
      </c>
      <c r="J69" s="30">
        <v>42102</v>
      </c>
      <c r="K69" s="28">
        <v>28.339472000000001</v>
      </c>
      <c r="L69" s="28">
        <f t="shared" ref="L69:N132" si="3">LN(K69/K68)</f>
        <v>2.2988369284037899E-3</v>
      </c>
      <c r="M69" s="32">
        <v>2095.84</v>
      </c>
      <c r="N69" s="28">
        <f t="shared" si="3"/>
        <v>9.3525154587159008E-3</v>
      </c>
    </row>
    <row r="70" spans="1:14">
      <c r="A70" s="30">
        <v>41738</v>
      </c>
      <c r="B70" s="28">
        <v>16.682644</v>
      </c>
      <c r="C70" s="28">
        <f t="shared" si="2"/>
        <v>1.3058191558377535E-2</v>
      </c>
      <c r="D70" s="31">
        <v>1872.18</v>
      </c>
      <c r="E70" s="28">
        <f t="shared" si="2"/>
        <v>1.085898956046606E-2</v>
      </c>
      <c r="J70" s="30">
        <v>42109</v>
      </c>
      <c r="K70" s="28">
        <v>28.476348999999999</v>
      </c>
      <c r="L70" s="28">
        <f t="shared" si="3"/>
        <v>4.8182799227428933E-3</v>
      </c>
      <c r="M70" s="32">
        <v>2097.29</v>
      </c>
      <c r="N70" s="28">
        <f t="shared" si="3"/>
        <v>6.9160749025055077E-4</v>
      </c>
    </row>
    <row r="71" spans="1:14">
      <c r="A71" s="30">
        <v>41739</v>
      </c>
      <c r="B71" s="28">
        <v>16.467472000000001</v>
      </c>
      <c r="C71" s="28">
        <f t="shared" si="2"/>
        <v>-1.2981856345705339E-2</v>
      </c>
      <c r="D71" s="31">
        <v>1833.08</v>
      </c>
      <c r="E71" s="28">
        <f t="shared" si="2"/>
        <v>-2.1105915074922734E-2</v>
      </c>
      <c r="J71" s="30">
        <v>42116</v>
      </c>
      <c r="K71" s="28">
        <v>29.295338000000001</v>
      </c>
      <c r="L71" s="28">
        <f t="shared" si="3"/>
        <v>2.835450763393255E-2</v>
      </c>
      <c r="M71" s="32">
        <v>2114.7600000000002</v>
      </c>
      <c r="N71" s="28">
        <f t="shared" si="3"/>
        <v>8.2952957246890703E-3</v>
      </c>
    </row>
    <row r="72" spans="1:14">
      <c r="A72" s="30">
        <v>41740</v>
      </c>
      <c r="B72" s="28">
        <v>16.345735999999999</v>
      </c>
      <c r="C72" s="28">
        <f t="shared" si="2"/>
        <v>-7.4199729891847015E-3</v>
      </c>
      <c r="D72" s="31">
        <v>1815.69</v>
      </c>
      <c r="E72" s="28">
        <f t="shared" si="2"/>
        <v>-9.5320514425906184E-3</v>
      </c>
      <c r="J72" s="30">
        <v>42123</v>
      </c>
      <c r="K72" s="28">
        <v>28.227274000000001</v>
      </c>
      <c r="L72" s="28">
        <f t="shared" si="3"/>
        <v>-3.7139717071549477E-2</v>
      </c>
      <c r="M72" s="32">
        <v>2089.46</v>
      </c>
      <c r="N72" s="28">
        <f t="shared" si="3"/>
        <v>-1.2035671495270565E-2</v>
      </c>
    </row>
    <row r="73" spans="1:14">
      <c r="A73" s="30">
        <v>41743</v>
      </c>
      <c r="B73" s="28">
        <v>16.410851000000001</v>
      </c>
      <c r="C73" s="28">
        <f t="shared" si="2"/>
        <v>3.97569415690756E-3</v>
      </c>
      <c r="D73" s="31">
        <v>1830.61</v>
      </c>
      <c r="E73" s="28">
        <f t="shared" si="2"/>
        <v>8.1836838818938485E-3</v>
      </c>
      <c r="J73" s="30">
        <v>42130</v>
      </c>
      <c r="K73" s="28">
        <v>28.242993999999999</v>
      </c>
      <c r="L73" s="28">
        <f t="shared" si="3"/>
        <v>5.5675317163588964E-4</v>
      </c>
      <c r="M73" s="32">
        <v>2099.12</v>
      </c>
      <c r="N73" s="28">
        <f t="shared" si="3"/>
        <v>4.6125498984693359E-3</v>
      </c>
    </row>
    <row r="74" spans="1:14">
      <c r="A74" s="30">
        <v>41744</v>
      </c>
      <c r="B74" s="28">
        <v>16.293821000000001</v>
      </c>
      <c r="C74" s="28">
        <f t="shared" si="2"/>
        <v>-7.1568061909565673E-3</v>
      </c>
      <c r="D74" s="31">
        <v>1842.98</v>
      </c>
      <c r="E74" s="28">
        <f t="shared" si="2"/>
        <v>6.7345821134063982E-3</v>
      </c>
      <c r="J74" s="30">
        <v>42137</v>
      </c>
      <c r="K74" s="28">
        <v>29.307299</v>
      </c>
      <c r="L74" s="28">
        <f t="shared" si="3"/>
        <v>3.6991170792244725E-2</v>
      </c>
      <c r="M74" s="32">
        <v>2127.83</v>
      </c>
      <c r="N74" s="28">
        <f t="shared" si="3"/>
        <v>1.3584471784858993E-2</v>
      </c>
    </row>
    <row r="75" spans="1:14">
      <c r="A75" s="30">
        <v>41745</v>
      </c>
      <c r="B75" s="28">
        <v>16.326858999999999</v>
      </c>
      <c r="C75" s="28">
        <f t="shared" si="2"/>
        <v>2.0255869157998247E-3</v>
      </c>
      <c r="D75" s="31">
        <v>1862.31</v>
      </c>
      <c r="E75" s="28">
        <f t="shared" si="2"/>
        <v>1.0433825888179194E-2</v>
      </c>
      <c r="J75" s="30">
        <v>42144</v>
      </c>
      <c r="K75" s="28">
        <v>29.205908000000001</v>
      </c>
      <c r="L75" s="28">
        <f t="shared" si="3"/>
        <v>-3.4655800519544904E-3</v>
      </c>
      <c r="M75" s="32">
        <v>2104.1999999999998</v>
      </c>
      <c r="N75" s="28">
        <f t="shared" si="3"/>
        <v>-1.1167333678148806E-2</v>
      </c>
    </row>
    <row r="76" spans="1:14">
      <c r="A76" s="30">
        <v>41746</v>
      </c>
      <c r="B76" s="28">
        <v>16.513397000000001</v>
      </c>
      <c r="C76" s="28">
        <f t="shared" si="2"/>
        <v>1.1360447750976631E-2</v>
      </c>
      <c r="D76" s="31">
        <v>1864.85</v>
      </c>
      <c r="E76" s="28">
        <f t="shared" si="2"/>
        <v>1.3629682617378818E-3</v>
      </c>
      <c r="J76" s="30">
        <v>42151</v>
      </c>
      <c r="K76" s="28">
        <v>29.282520000000002</v>
      </c>
      <c r="L76" s="28">
        <f t="shared" si="3"/>
        <v>2.6197333877975345E-3</v>
      </c>
      <c r="M76" s="32">
        <v>2109.6</v>
      </c>
      <c r="N76" s="28">
        <f t="shared" si="3"/>
        <v>2.5630086648895482E-3</v>
      </c>
    </row>
    <row r="77" spans="1:14">
      <c r="A77" s="30">
        <v>41750</v>
      </c>
      <c r="B77" s="28">
        <v>16.709382999999999</v>
      </c>
      <c r="C77" s="28">
        <f t="shared" si="2"/>
        <v>1.1798427071989909E-2</v>
      </c>
      <c r="D77" s="31">
        <v>1871.89</v>
      </c>
      <c r="E77" s="28">
        <f t="shared" si="2"/>
        <v>3.767994738389568E-3</v>
      </c>
      <c r="J77" s="30">
        <v>42158</v>
      </c>
      <c r="K77" s="28">
        <v>28.710203</v>
      </c>
      <c r="L77" s="28">
        <f t="shared" si="3"/>
        <v>-1.9738186148406389E-2</v>
      </c>
      <c r="M77" s="32">
        <v>2080.15</v>
      </c>
      <c r="N77" s="28">
        <f t="shared" si="3"/>
        <v>-1.4058349559287149E-2</v>
      </c>
    </row>
    <row r="78" spans="1:14">
      <c r="A78" s="30">
        <v>41751</v>
      </c>
      <c r="B78" s="28">
        <v>16.726053</v>
      </c>
      <c r="C78" s="28">
        <f t="shared" si="2"/>
        <v>9.9714574568421106E-4</v>
      </c>
      <c r="D78" s="31">
        <v>1879.55</v>
      </c>
      <c r="E78" s="28">
        <f t="shared" si="2"/>
        <v>4.0837708429826225E-3</v>
      </c>
      <c r="J78" s="30">
        <v>42165</v>
      </c>
      <c r="K78" s="28">
        <v>28.750765000000001</v>
      </c>
      <c r="L78" s="28">
        <f t="shared" si="3"/>
        <v>1.4118107699605509E-3</v>
      </c>
      <c r="M78" s="32">
        <v>2096.29</v>
      </c>
      <c r="N78" s="28">
        <f t="shared" si="3"/>
        <v>7.7291091690758667E-3</v>
      </c>
    </row>
    <row r="79" spans="1:14">
      <c r="A79" s="30">
        <v>41752</v>
      </c>
      <c r="B79" s="28">
        <v>16.507421000000001</v>
      </c>
      <c r="C79" s="28">
        <f t="shared" si="2"/>
        <v>-1.3157526302003E-2</v>
      </c>
      <c r="D79" s="31">
        <v>1875.39</v>
      </c>
      <c r="E79" s="28">
        <f t="shared" si="2"/>
        <v>-2.2157486947723798E-3</v>
      </c>
      <c r="J79" s="30">
        <v>42172</v>
      </c>
      <c r="K79" s="28">
        <v>28.622333999999999</v>
      </c>
      <c r="L79" s="28">
        <f t="shared" si="3"/>
        <v>-4.4770534191500167E-3</v>
      </c>
      <c r="M79" s="32">
        <v>2124.1999999999998</v>
      </c>
      <c r="N79" s="28">
        <f t="shared" si="3"/>
        <v>1.3226145238573475E-2</v>
      </c>
    </row>
    <row r="80" spans="1:14">
      <c r="A80" s="30">
        <v>41753</v>
      </c>
      <c r="B80" s="28">
        <v>17.860728999999999</v>
      </c>
      <c r="C80" s="28">
        <f t="shared" si="2"/>
        <v>7.8794354712877795E-2</v>
      </c>
      <c r="D80" s="31">
        <v>1878.61</v>
      </c>
      <c r="E80" s="28">
        <f t="shared" si="2"/>
        <v>1.715503883693198E-3</v>
      </c>
      <c r="J80" s="30">
        <v>42179</v>
      </c>
      <c r="K80" s="28">
        <v>28.261821999999999</v>
      </c>
      <c r="L80" s="28">
        <f t="shared" si="3"/>
        <v>-1.2675474234746124E-2</v>
      </c>
      <c r="M80" s="32">
        <v>2063.11</v>
      </c>
      <c r="N80" s="28">
        <f t="shared" si="3"/>
        <v>-2.9180707830495665E-2</v>
      </c>
    </row>
    <row r="81" spans="1:14">
      <c r="A81" s="30">
        <v>41754</v>
      </c>
      <c r="B81" s="28">
        <v>17.991909</v>
      </c>
      <c r="C81" s="28">
        <f t="shared" si="2"/>
        <v>7.3177647562079244E-3</v>
      </c>
      <c r="D81" s="31">
        <v>1863.4</v>
      </c>
      <c r="E81" s="28">
        <f t="shared" si="2"/>
        <v>-8.1293656428790845E-3</v>
      </c>
      <c r="J81" s="30">
        <v>42186</v>
      </c>
      <c r="K81" s="28">
        <v>28.320405999999998</v>
      </c>
      <c r="L81" s="28">
        <f t="shared" si="3"/>
        <v>2.0707569498387246E-3</v>
      </c>
      <c r="M81" s="32">
        <v>2081.34</v>
      </c>
      <c r="N81" s="28">
        <f t="shared" si="3"/>
        <v>8.7973639800915954E-3</v>
      </c>
    </row>
    <row r="82" spans="1:14">
      <c r="A82" s="30">
        <v>41757</v>
      </c>
      <c r="B82" s="28">
        <v>18.688697999999999</v>
      </c>
      <c r="C82" s="28">
        <f t="shared" si="2"/>
        <v>3.7996799278793375E-2</v>
      </c>
      <c r="D82" s="31">
        <v>1869.43</v>
      </c>
      <c r="E82" s="28">
        <f t="shared" si="2"/>
        <v>3.2307955332088844E-3</v>
      </c>
      <c r="J82" s="30">
        <v>42193</v>
      </c>
      <c r="K82" s="28">
        <v>28.302382000000001</v>
      </c>
      <c r="L82" s="28">
        <f t="shared" si="3"/>
        <v>-6.3663416251284028E-4</v>
      </c>
      <c r="M82" s="32">
        <v>2108.9499999999998</v>
      </c>
      <c r="N82" s="28">
        <f t="shared" si="3"/>
        <v>1.3178276242257453E-2</v>
      </c>
    </row>
    <row r="83" spans="1:14">
      <c r="A83" s="30">
        <v>41758</v>
      </c>
      <c r="B83" s="28">
        <v>18.633333</v>
      </c>
      <c r="C83" s="28">
        <f t="shared" si="2"/>
        <v>-2.9668825156930812E-3</v>
      </c>
      <c r="D83" s="31">
        <v>1878.33</v>
      </c>
      <c r="E83" s="28">
        <f t="shared" si="2"/>
        <v>4.7495126317660839E-3</v>
      </c>
      <c r="J83" s="30">
        <v>42200</v>
      </c>
      <c r="K83" s="28">
        <v>29.460519999999999</v>
      </c>
      <c r="L83" s="28">
        <f t="shared" si="3"/>
        <v>4.0105091212544054E-2</v>
      </c>
      <c r="M83" s="32">
        <v>2119.21</v>
      </c>
      <c r="N83" s="28">
        <f t="shared" si="3"/>
        <v>4.8531844292309303E-3</v>
      </c>
    </row>
    <row r="84" spans="1:14">
      <c r="A84" s="30">
        <v>41759</v>
      </c>
      <c r="B84" s="28">
        <v>18.562868000000002</v>
      </c>
      <c r="C84" s="28">
        <f t="shared" si="2"/>
        <v>-3.7888323216236793E-3</v>
      </c>
      <c r="D84" s="31">
        <v>1883.95</v>
      </c>
      <c r="E84" s="28">
        <f t="shared" si="2"/>
        <v>2.9875523247041838E-3</v>
      </c>
      <c r="J84" s="30">
        <v>42207</v>
      </c>
      <c r="K84" s="28">
        <v>27.799917000000001</v>
      </c>
      <c r="L84" s="28">
        <f t="shared" si="3"/>
        <v>-5.8018026850356744E-2</v>
      </c>
      <c r="M84" s="32">
        <v>2093.25</v>
      </c>
      <c r="N84" s="28">
        <f t="shared" si="3"/>
        <v>-1.2325495623982337E-2</v>
      </c>
    </row>
    <row r="85" spans="1:14">
      <c r="A85" s="30">
        <v>41760</v>
      </c>
      <c r="B85" s="28">
        <v>18.606594000000001</v>
      </c>
      <c r="C85" s="28">
        <f t="shared" si="2"/>
        <v>2.3527927399607756E-3</v>
      </c>
      <c r="D85" s="31">
        <v>1883.68</v>
      </c>
      <c r="E85" s="28">
        <f t="shared" si="2"/>
        <v>-1.4332617611718807E-4</v>
      </c>
      <c r="J85" s="30">
        <v>42214</v>
      </c>
      <c r="K85" s="28">
        <v>25.830622000000002</v>
      </c>
      <c r="L85" s="28">
        <f t="shared" si="3"/>
        <v>-7.3472347736286123E-2</v>
      </c>
      <c r="M85" s="32">
        <v>2093.3200000000002</v>
      </c>
      <c r="N85" s="28">
        <f t="shared" si="3"/>
        <v>3.3440262557066866E-5</v>
      </c>
    </row>
    <row r="86" spans="1:14">
      <c r="A86" s="30">
        <v>41761</v>
      </c>
      <c r="B86" s="28">
        <v>18.641195</v>
      </c>
      <c r="C86" s="28">
        <f t="shared" si="2"/>
        <v>1.857882622389707E-3</v>
      </c>
      <c r="D86" s="31">
        <v>1881.14</v>
      </c>
      <c r="E86" s="28">
        <f t="shared" si="2"/>
        <v>-1.3493343030381874E-3</v>
      </c>
      <c r="J86" s="30">
        <v>42221</v>
      </c>
      <c r="K86" s="28">
        <v>25.571503</v>
      </c>
      <c r="L86" s="28">
        <f t="shared" si="3"/>
        <v>-1.0082119948606482E-2</v>
      </c>
      <c r="M86" s="32">
        <v>2084.0700000000002</v>
      </c>
      <c r="N86" s="28">
        <f t="shared" si="3"/>
        <v>-4.4286097865073766E-3</v>
      </c>
    </row>
    <row r="87" spans="1:14">
      <c r="A87" s="30">
        <v>41764</v>
      </c>
      <c r="B87" s="28">
        <v>18.904810000000001</v>
      </c>
      <c r="C87" s="28">
        <f t="shared" si="2"/>
        <v>1.4042470396553132E-2</v>
      </c>
      <c r="D87" s="31">
        <v>1884.66</v>
      </c>
      <c r="E87" s="28">
        <f t="shared" si="2"/>
        <v>1.8694572336087256E-3</v>
      </c>
      <c r="J87" s="30">
        <v>42228</v>
      </c>
      <c r="K87" s="28">
        <v>26.368538000000001</v>
      </c>
      <c r="L87" s="28">
        <f t="shared" si="3"/>
        <v>3.0692989642598777E-2</v>
      </c>
      <c r="M87" s="32">
        <v>2096.92</v>
      </c>
      <c r="N87" s="28">
        <f t="shared" si="3"/>
        <v>6.146888875888875E-3</v>
      </c>
    </row>
    <row r="88" spans="1:14">
      <c r="A88" s="30">
        <v>41765</v>
      </c>
      <c r="B88" s="28">
        <v>18.698774</v>
      </c>
      <c r="C88" s="28">
        <f t="shared" si="2"/>
        <v>-1.0958426827170005E-2</v>
      </c>
      <c r="D88" s="31">
        <v>1867.72</v>
      </c>
      <c r="E88" s="28">
        <f t="shared" si="2"/>
        <v>-9.0289976403566084E-3</v>
      </c>
      <c r="J88" s="30">
        <v>42235</v>
      </c>
      <c r="K88" s="28">
        <v>23.480446000000001</v>
      </c>
      <c r="L88" s="28">
        <f t="shared" si="3"/>
        <v>-0.11600356736956713</v>
      </c>
      <c r="M88" s="32">
        <v>1867.61</v>
      </c>
      <c r="N88" s="28">
        <f t="shared" si="3"/>
        <v>-0.11581006288840853</v>
      </c>
    </row>
    <row r="89" spans="1:14">
      <c r="A89" s="30">
        <v>41766</v>
      </c>
      <c r="B89" s="28">
        <v>18.633333</v>
      </c>
      <c r="C89" s="28">
        <f t="shared" si="2"/>
        <v>-3.5058866101098569E-3</v>
      </c>
      <c r="D89" s="31">
        <v>1878.21</v>
      </c>
      <c r="E89" s="28">
        <f t="shared" si="2"/>
        <v>5.6007599828579776E-3</v>
      </c>
      <c r="J89" s="30">
        <v>42242</v>
      </c>
      <c r="K89" s="28">
        <v>24.381277000000001</v>
      </c>
      <c r="L89" s="28">
        <f t="shared" si="3"/>
        <v>3.7647512011810644E-2</v>
      </c>
      <c r="M89" s="32">
        <v>1913.85</v>
      </c>
      <c r="N89" s="28">
        <f t="shared" si="3"/>
        <v>2.4457381487790711E-2</v>
      </c>
    </row>
    <row r="90" spans="1:14">
      <c r="A90" s="30">
        <v>41767</v>
      </c>
      <c r="B90" s="28">
        <v>18.600124000000001</v>
      </c>
      <c r="C90" s="28">
        <f t="shared" si="2"/>
        <v>-1.7838262402557845E-3</v>
      </c>
      <c r="D90" s="31">
        <v>1875.63</v>
      </c>
      <c r="E90" s="28">
        <f t="shared" si="2"/>
        <v>-1.3745926338061829E-3</v>
      </c>
      <c r="J90" s="30">
        <v>42249</v>
      </c>
      <c r="K90" s="28">
        <v>25.420172000000001</v>
      </c>
      <c r="L90" s="28">
        <f t="shared" si="3"/>
        <v>4.172753038357109E-2</v>
      </c>
      <c r="M90" s="32">
        <v>1969.41</v>
      </c>
      <c r="N90" s="28">
        <f t="shared" si="3"/>
        <v>2.8617085453584469E-2</v>
      </c>
    </row>
    <row r="91" spans="1:14">
      <c r="A91" s="30">
        <v>41768</v>
      </c>
      <c r="B91" s="28">
        <v>18.522614999999998</v>
      </c>
      <c r="C91" s="28">
        <f t="shared" si="2"/>
        <v>-4.1758294090620254E-3</v>
      </c>
      <c r="D91" s="31">
        <v>1878.48</v>
      </c>
      <c r="E91" s="28">
        <f t="shared" si="2"/>
        <v>1.5183361955399689E-3</v>
      </c>
      <c r="J91" s="30">
        <v>42256</v>
      </c>
      <c r="K91" s="28">
        <v>26.318746999999998</v>
      </c>
      <c r="L91" s="28">
        <f t="shared" si="3"/>
        <v>3.4738466876773469E-2</v>
      </c>
      <c r="M91" s="32">
        <v>1978.09</v>
      </c>
      <c r="N91" s="28">
        <f t="shared" si="3"/>
        <v>4.397727163655594E-3</v>
      </c>
    </row>
    <row r="92" spans="1:14">
      <c r="A92" s="30">
        <v>41771</v>
      </c>
      <c r="B92" s="28">
        <v>18.753229000000001</v>
      </c>
      <c r="C92" s="28">
        <f t="shared" si="2"/>
        <v>1.2373532968201179E-2</v>
      </c>
      <c r="D92" s="31">
        <v>1896.65</v>
      </c>
      <c r="E92" s="28">
        <f t="shared" si="2"/>
        <v>9.6262329027441348E-3</v>
      </c>
      <c r="J92" s="30">
        <v>42263</v>
      </c>
      <c r="K92" s="28">
        <v>25.666885000000001</v>
      </c>
      <c r="L92" s="28">
        <f t="shared" si="3"/>
        <v>-2.5079859298017152E-2</v>
      </c>
      <c r="M92" s="32">
        <v>1942.74</v>
      </c>
      <c r="N92" s="28">
        <f t="shared" si="3"/>
        <v>-1.8032384919682277E-2</v>
      </c>
    </row>
    <row r="93" spans="1:14">
      <c r="A93" s="30">
        <v>41772</v>
      </c>
      <c r="B93" s="28">
        <v>18.782641999999999</v>
      </c>
      <c r="C93" s="28">
        <f t="shared" si="2"/>
        <v>1.5671945387972647E-3</v>
      </c>
      <c r="D93" s="31">
        <v>1897.45</v>
      </c>
      <c r="E93" s="28">
        <f t="shared" si="2"/>
        <v>4.2170739403580638E-4</v>
      </c>
      <c r="J93" s="30">
        <v>42270</v>
      </c>
      <c r="K93" s="28">
        <v>24.684566</v>
      </c>
      <c r="L93" s="28">
        <f t="shared" si="3"/>
        <v>-3.9023449613874522E-2</v>
      </c>
      <c r="M93" s="32">
        <v>1884.09</v>
      </c>
      <c r="N93" s="28">
        <f t="shared" si="3"/>
        <v>-3.0654402037457899E-2</v>
      </c>
    </row>
    <row r="94" spans="1:14">
      <c r="A94" s="30">
        <v>41773</v>
      </c>
      <c r="B94" s="28">
        <v>18.786121000000001</v>
      </c>
      <c r="C94" s="28">
        <f t="shared" si="2"/>
        <v>1.8520705672131865E-4</v>
      </c>
      <c r="D94" s="31">
        <v>1888.53</v>
      </c>
      <c r="E94" s="28">
        <f t="shared" si="2"/>
        <v>-4.7121308116253539E-3</v>
      </c>
      <c r="J94" s="30">
        <v>42277</v>
      </c>
      <c r="K94" s="28">
        <v>25.193829000000001</v>
      </c>
      <c r="L94" s="28">
        <f t="shared" si="3"/>
        <v>2.0420893547734333E-2</v>
      </c>
      <c r="M94" s="32">
        <v>1979.92</v>
      </c>
      <c r="N94" s="28">
        <f t="shared" si="3"/>
        <v>4.9611494135949924E-2</v>
      </c>
    </row>
    <row r="95" spans="1:14">
      <c r="A95" s="30">
        <v>41774</v>
      </c>
      <c r="B95" s="28">
        <v>18.626370999999999</v>
      </c>
      <c r="C95" s="28">
        <f t="shared" si="2"/>
        <v>-8.5399802235173374E-3</v>
      </c>
      <c r="D95" s="31">
        <v>1870.85</v>
      </c>
      <c r="E95" s="28">
        <f t="shared" si="2"/>
        <v>-9.4058756211604158E-3</v>
      </c>
      <c r="J95" s="30">
        <v>42284</v>
      </c>
      <c r="K95" s="28">
        <v>25.302475000000001</v>
      </c>
      <c r="L95" s="28">
        <f t="shared" si="3"/>
        <v>4.303133459011111E-3</v>
      </c>
      <c r="M95" s="32">
        <v>2003.69</v>
      </c>
      <c r="N95" s="28">
        <f t="shared" si="3"/>
        <v>1.1934040788253549E-2</v>
      </c>
    </row>
    <row r="96" spans="1:14">
      <c r="A96" s="30">
        <v>41775</v>
      </c>
      <c r="B96" s="28">
        <v>18.901266</v>
      </c>
      <c r="C96" s="28">
        <f t="shared" si="2"/>
        <v>1.4650531654503703E-2</v>
      </c>
      <c r="D96" s="31">
        <v>1877.86</v>
      </c>
      <c r="E96" s="28">
        <f t="shared" si="2"/>
        <v>3.7399575698852106E-3</v>
      </c>
      <c r="J96" s="30">
        <v>42291</v>
      </c>
      <c r="K96" s="28">
        <v>25.750629</v>
      </c>
      <c r="L96" s="28">
        <f t="shared" si="3"/>
        <v>1.7556836960100842E-2</v>
      </c>
      <c r="M96" s="32">
        <v>2030.77</v>
      </c>
      <c r="N96" s="28">
        <f t="shared" si="3"/>
        <v>1.3424550840512691E-2</v>
      </c>
    </row>
    <row r="97" spans="1:14">
      <c r="A97" s="30">
        <v>41778</v>
      </c>
      <c r="B97" s="28">
        <v>19.125233000000001</v>
      </c>
      <c r="C97" s="28">
        <f t="shared" si="2"/>
        <v>1.1779658695679049E-2</v>
      </c>
      <c r="D97" s="31">
        <v>1885.08</v>
      </c>
      <c r="E97" s="28">
        <f t="shared" si="2"/>
        <v>3.8374297012765974E-3</v>
      </c>
      <c r="J97" s="30">
        <v>42298</v>
      </c>
      <c r="K97" s="28">
        <v>25.927174000000001</v>
      </c>
      <c r="L97" s="28">
        <f t="shared" si="3"/>
        <v>6.8325538845106339E-3</v>
      </c>
      <c r="M97" s="32">
        <v>2065.89</v>
      </c>
      <c r="N97" s="28">
        <f t="shared" si="3"/>
        <v>1.7146094819841057E-2</v>
      </c>
    </row>
    <row r="98" spans="1:14">
      <c r="A98" s="30">
        <v>41779</v>
      </c>
      <c r="B98" s="28">
        <v>19.129024999999999</v>
      </c>
      <c r="C98" s="28">
        <f t="shared" si="2"/>
        <v>1.9825244093957297E-4</v>
      </c>
      <c r="D98" s="31">
        <v>1872.83</v>
      </c>
      <c r="E98" s="28">
        <f t="shared" si="2"/>
        <v>-6.5196044560605956E-3</v>
      </c>
      <c r="J98" s="30">
        <v>42305</v>
      </c>
      <c r="K98" s="28">
        <v>27.742407</v>
      </c>
      <c r="L98" s="28">
        <f t="shared" si="3"/>
        <v>6.7670573249213078E-2</v>
      </c>
      <c r="M98" s="32">
        <v>2109.79</v>
      </c>
      <c r="N98" s="28">
        <f t="shared" si="3"/>
        <v>2.1027290170194984E-2</v>
      </c>
    </row>
    <row r="99" spans="1:14">
      <c r="A99" s="30">
        <v>41780</v>
      </c>
      <c r="B99" s="28">
        <v>19.179646000000002</v>
      </c>
      <c r="C99" s="28">
        <f t="shared" si="2"/>
        <v>2.6427974733457494E-3</v>
      </c>
      <c r="D99" s="31">
        <v>1888.03</v>
      </c>
      <c r="E99" s="28">
        <f t="shared" si="2"/>
        <v>8.0833015659244594E-3</v>
      </c>
      <c r="J99" s="30">
        <v>42312</v>
      </c>
      <c r="K99" s="28">
        <v>26.429649000000001</v>
      </c>
      <c r="L99" s="28">
        <f t="shared" si="3"/>
        <v>-4.8475732964806541E-2</v>
      </c>
      <c r="M99" s="32">
        <v>2081.7199999999998</v>
      </c>
      <c r="N99" s="28">
        <f t="shared" si="3"/>
        <v>-1.3393941390947765E-2</v>
      </c>
    </row>
    <row r="100" spans="1:14">
      <c r="A100" s="30">
        <v>41781</v>
      </c>
      <c r="B100" s="28">
        <v>19.210011000000002</v>
      </c>
      <c r="C100" s="28">
        <f t="shared" si="2"/>
        <v>1.5819368395205158E-3</v>
      </c>
      <c r="D100" s="31">
        <v>1892.49</v>
      </c>
      <c r="E100" s="28">
        <f t="shared" si="2"/>
        <v>2.3594648720788379E-3</v>
      </c>
      <c r="J100" s="30">
        <v>42319</v>
      </c>
      <c r="K100" s="28">
        <v>25.842666999999999</v>
      </c>
      <c r="L100" s="28">
        <f t="shared" si="3"/>
        <v>-2.2459562502084682E-2</v>
      </c>
      <c r="M100" s="32">
        <v>2050.44</v>
      </c>
      <c r="N100" s="28">
        <f t="shared" si="3"/>
        <v>-1.5140070811583736E-2</v>
      </c>
    </row>
    <row r="101" spans="1:14">
      <c r="A101" s="30">
        <v>41782</v>
      </c>
      <c r="B101" s="28">
        <v>19.427015000000001</v>
      </c>
      <c r="C101" s="28">
        <f t="shared" si="2"/>
        <v>1.1233073778890698E-2</v>
      </c>
      <c r="D101" s="31">
        <v>1900.53</v>
      </c>
      <c r="E101" s="28">
        <f t="shared" si="2"/>
        <v>4.2393723425778601E-3</v>
      </c>
      <c r="J101" s="30">
        <v>42326</v>
      </c>
      <c r="K101" s="28">
        <v>27.022393999999998</v>
      </c>
      <c r="L101" s="28">
        <f t="shared" si="3"/>
        <v>4.4639043980777345E-2</v>
      </c>
      <c r="M101" s="32">
        <v>2089.14</v>
      </c>
      <c r="N101" s="28">
        <f t="shared" si="3"/>
        <v>1.869809377462071E-2</v>
      </c>
    </row>
    <row r="102" spans="1:14">
      <c r="A102" s="30">
        <v>41786</v>
      </c>
      <c r="B102" s="28">
        <v>19.790801999999999</v>
      </c>
      <c r="C102" s="28">
        <f t="shared" si="2"/>
        <v>1.8552661133655855E-2</v>
      </c>
      <c r="D102" s="31">
        <v>1911.91</v>
      </c>
      <c r="E102" s="28">
        <f t="shared" si="2"/>
        <v>5.9699477493898685E-3</v>
      </c>
      <c r="J102" s="30">
        <v>42333</v>
      </c>
      <c r="K102" s="28">
        <v>26.672343999999999</v>
      </c>
      <c r="L102" s="28">
        <f t="shared" si="3"/>
        <v>-1.3038706297699206E-2</v>
      </c>
      <c r="M102" s="32">
        <v>2102.63</v>
      </c>
      <c r="N102" s="28">
        <f t="shared" si="3"/>
        <v>6.4364440662218877E-3</v>
      </c>
    </row>
    <row r="103" spans="1:14">
      <c r="A103" s="30">
        <v>41787</v>
      </c>
      <c r="B103" s="28">
        <v>19.739552</v>
      </c>
      <c r="C103" s="28">
        <f t="shared" si="2"/>
        <v>-2.5929455989377064E-3</v>
      </c>
      <c r="D103" s="31">
        <v>1909.78</v>
      </c>
      <c r="E103" s="28">
        <f t="shared" si="2"/>
        <v>-1.1146902132564401E-3</v>
      </c>
      <c r="J103" s="30">
        <v>42340</v>
      </c>
      <c r="K103" s="28">
        <v>26.874649000000002</v>
      </c>
      <c r="L103" s="28">
        <f t="shared" si="3"/>
        <v>7.5562025516390284E-3</v>
      </c>
      <c r="M103" s="32">
        <v>2063.59</v>
      </c>
      <c r="N103" s="28">
        <f t="shared" si="3"/>
        <v>-1.8741757630639816E-2</v>
      </c>
    </row>
    <row r="104" spans="1:14">
      <c r="A104" s="30">
        <v>41788</v>
      </c>
      <c r="B104" s="28">
        <v>20.099219999999999</v>
      </c>
      <c r="C104" s="28">
        <f t="shared" si="2"/>
        <v>1.8056669629571361E-2</v>
      </c>
      <c r="D104" s="31">
        <v>1920.03</v>
      </c>
      <c r="E104" s="28">
        <f t="shared" si="2"/>
        <v>5.3527587392555058E-3</v>
      </c>
      <c r="J104" s="30">
        <v>42347</v>
      </c>
      <c r="K104" s="28">
        <v>25.115279999999998</v>
      </c>
      <c r="L104" s="28">
        <f t="shared" si="3"/>
        <v>-6.7707000041653739E-2</v>
      </c>
      <c r="M104" s="32">
        <v>2043.41</v>
      </c>
      <c r="N104" s="28">
        <f t="shared" si="3"/>
        <v>-9.8272035085929001E-3</v>
      </c>
    </row>
    <row r="105" spans="1:14">
      <c r="A105" s="30">
        <v>41789</v>
      </c>
      <c r="B105" s="28">
        <v>20.023935000000002</v>
      </c>
      <c r="C105" s="28">
        <f t="shared" si="2"/>
        <v>-3.7527003223794889E-3</v>
      </c>
      <c r="D105" s="31">
        <v>1923.57</v>
      </c>
      <c r="E105" s="28">
        <f t="shared" si="2"/>
        <v>1.8420236241803512E-3</v>
      </c>
      <c r="J105" s="30">
        <v>42354</v>
      </c>
      <c r="K105" s="28">
        <v>24.374258000000001</v>
      </c>
      <c r="L105" s="28">
        <f t="shared" si="3"/>
        <v>-2.9948850460835858E-2</v>
      </c>
      <c r="M105" s="32">
        <v>2038.97</v>
      </c>
      <c r="N105" s="28">
        <f t="shared" si="3"/>
        <v>-2.1752025782299151E-3</v>
      </c>
    </row>
    <row r="106" spans="1:14">
      <c r="A106" s="30">
        <v>41792</v>
      </c>
      <c r="B106" s="28">
        <v>19.886333</v>
      </c>
      <c r="C106" s="28">
        <f t="shared" si="2"/>
        <v>-6.8955961527921248E-3</v>
      </c>
      <c r="D106" s="31">
        <v>1924.97</v>
      </c>
      <c r="E106" s="28">
        <f t="shared" si="2"/>
        <v>7.2754866092336699E-4</v>
      </c>
      <c r="J106" s="30">
        <v>42361</v>
      </c>
      <c r="K106" s="28">
        <v>24.717495</v>
      </c>
      <c r="L106" s="28">
        <f t="shared" si="3"/>
        <v>1.3983717108368056E-2</v>
      </c>
      <c r="M106" s="32">
        <v>2078.36</v>
      </c>
      <c r="N106" s="28">
        <f t="shared" si="3"/>
        <v>1.913434278605624E-2</v>
      </c>
    </row>
    <row r="107" spans="1:14">
      <c r="A107" s="30">
        <v>41793</v>
      </c>
      <c r="B107" s="28">
        <v>20.167551</v>
      </c>
      <c r="C107" s="28">
        <f t="shared" si="2"/>
        <v>1.4042214780180031E-2</v>
      </c>
      <c r="D107" s="31">
        <v>1924.24</v>
      </c>
      <c r="E107" s="28">
        <f t="shared" si="2"/>
        <v>-3.7929861387248808E-4</v>
      </c>
      <c r="J107" s="30">
        <v>42368</v>
      </c>
      <c r="K107" s="28">
        <v>23.346827999999999</v>
      </c>
      <c r="L107" s="28">
        <f t="shared" si="3"/>
        <v>-5.7050163440685156E-2</v>
      </c>
      <c r="M107" s="32">
        <v>2016.71</v>
      </c>
      <c r="N107" s="28">
        <f t="shared" si="3"/>
        <v>-3.0111650428390643E-2</v>
      </c>
    </row>
    <row r="108" spans="1:14">
      <c r="A108" s="30">
        <v>41794</v>
      </c>
      <c r="B108" s="28">
        <v>20.397843999999999</v>
      </c>
      <c r="C108" s="28">
        <f t="shared" si="2"/>
        <v>1.1354282343555091E-2</v>
      </c>
      <c r="D108" s="31">
        <v>1927.88</v>
      </c>
      <c r="E108" s="28">
        <f t="shared" si="2"/>
        <v>1.8898689985705139E-3</v>
      </c>
      <c r="J108" s="30">
        <v>42375</v>
      </c>
      <c r="K108" s="28">
        <v>22.721729</v>
      </c>
      <c r="L108" s="28">
        <f t="shared" si="3"/>
        <v>-2.7139437753037041E-2</v>
      </c>
      <c r="M108" s="32">
        <v>1938.68</v>
      </c>
      <c r="N108" s="28">
        <f t="shared" si="3"/>
        <v>-3.9460141628540661E-2</v>
      </c>
    </row>
    <row r="109" spans="1:14">
      <c r="A109" s="30">
        <v>41795</v>
      </c>
      <c r="B109" s="28">
        <v>20.477879000000001</v>
      </c>
      <c r="C109" s="28">
        <f t="shared" si="2"/>
        <v>3.9160213645407062E-3</v>
      </c>
      <c r="D109" s="31">
        <v>1940.46</v>
      </c>
      <c r="E109" s="28">
        <f t="shared" si="2"/>
        <v>6.5041047829359376E-3</v>
      </c>
      <c r="J109" s="30">
        <v>42382</v>
      </c>
      <c r="K109" s="28">
        <v>21.971605</v>
      </c>
      <c r="L109" s="28">
        <f t="shared" si="3"/>
        <v>-3.3570753416614946E-2</v>
      </c>
      <c r="M109" s="32">
        <v>1881.33</v>
      </c>
      <c r="N109" s="28">
        <f t="shared" si="3"/>
        <v>-3.0028355590716673E-2</v>
      </c>
    </row>
    <row r="110" spans="1:14">
      <c r="A110" s="30">
        <v>41796</v>
      </c>
      <c r="B110" s="28">
        <v>20.421568000000001</v>
      </c>
      <c r="C110" s="28">
        <f t="shared" si="2"/>
        <v>-2.7536331032293974E-3</v>
      </c>
      <c r="D110" s="31">
        <v>1949.44</v>
      </c>
      <c r="E110" s="28">
        <f t="shared" si="2"/>
        <v>4.6170934741916929E-3</v>
      </c>
      <c r="J110" s="30">
        <v>42389</v>
      </c>
      <c r="K110" s="28">
        <v>22.728548</v>
      </c>
      <c r="L110" s="28">
        <f t="shared" si="3"/>
        <v>3.3870817596693061E-2</v>
      </c>
      <c r="M110" s="32">
        <v>1903.63</v>
      </c>
      <c r="N110" s="28">
        <f t="shared" si="3"/>
        <v>1.1783616226167401E-2</v>
      </c>
    </row>
    <row r="111" spans="1:14">
      <c r="A111" s="30">
        <v>41799</v>
      </c>
      <c r="B111" s="28">
        <v>20.748341</v>
      </c>
      <c r="C111" s="28">
        <f t="shared" si="2"/>
        <v>1.587469442137773E-2</v>
      </c>
      <c r="D111" s="31">
        <v>1951.27</v>
      </c>
      <c r="E111" s="28">
        <f t="shared" si="2"/>
        <v>9.3829079027121039E-4</v>
      </c>
      <c r="J111" s="30">
        <v>42396</v>
      </c>
      <c r="K111" s="28">
        <v>21.476078000000001</v>
      </c>
      <c r="L111" s="28">
        <f t="shared" si="3"/>
        <v>-5.6682090974669912E-2</v>
      </c>
      <c r="M111" s="32">
        <v>1903.03</v>
      </c>
      <c r="N111" s="28">
        <f t="shared" si="3"/>
        <v>-3.1523698200983422E-4</v>
      </c>
    </row>
    <row r="112" spans="1:14">
      <c r="A112" s="30">
        <v>41800</v>
      </c>
      <c r="B112" s="28">
        <v>20.870128999999999</v>
      </c>
      <c r="C112" s="28">
        <f t="shared" si="2"/>
        <v>5.8526105180706969E-3</v>
      </c>
      <c r="D112" s="31">
        <v>1950.79</v>
      </c>
      <c r="E112" s="28">
        <f t="shared" si="2"/>
        <v>-2.4602389631178353E-4</v>
      </c>
      <c r="J112" s="30">
        <v>42403</v>
      </c>
      <c r="K112" s="28">
        <v>21.592002999999998</v>
      </c>
      <c r="L112" s="28">
        <f t="shared" si="3"/>
        <v>5.3833501410554454E-3</v>
      </c>
      <c r="M112" s="32">
        <v>1852.21</v>
      </c>
      <c r="N112" s="28">
        <f t="shared" si="3"/>
        <v>-2.7067832047543344E-2</v>
      </c>
    </row>
    <row r="113" spans="1:14">
      <c r="A113" s="30">
        <v>41801</v>
      </c>
      <c r="B113" s="28">
        <v>20.783773</v>
      </c>
      <c r="C113" s="28">
        <f t="shared" si="2"/>
        <v>-4.146364185604697E-3</v>
      </c>
      <c r="D113" s="31">
        <v>1943.89</v>
      </c>
      <c r="E113" s="28">
        <f t="shared" si="2"/>
        <v>-3.5432986633579717E-3</v>
      </c>
      <c r="J113" s="30">
        <v>42410</v>
      </c>
      <c r="K113" s="28">
        <v>22.086262000000001</v>
      </c>
      <c r="L113" s="28">
        <f t="shared" si="3"/>
        <v>2.2632771616999774E-2</v>
      </c>
      <c r="M113" s="32">
        <v>1895.58</v>
      </c>
      <c r="N113" s="28">
        <f t="shared" si="3"/>
        <v>2.3145339582085384E-2</v>
      </c>
    </row>
    <row r="114" spans="1:14">
      <c r="A114" s="30">
        <v>41802</v>
      </c>
      <c r="B114" s="28">
        <v>20.436121</v>
      </c>
      <c r="C114" s="28">
        <f t="shared" si="2"/>
        <v>-1.686856563074543E-2</v>
      </c>
      <c r="D114" s="31">
        <v>1930.11</v>
      </c>
      <c r="E114" s="28">
        <f t="shared" si="2"/>
        <v>-7.1141239638480343E-3</v>
      </c>
      <c r="J114" s="30">
        <v>42417</v>
      </c>
      <c r="K114" s="28">
        <v>21.640608</v>
      </c>
      <c r="L114" s="28">
        <f t="shared" si="3"/>
        <v>-2.038423657115019E-2</v>
      </c>
      <c r="M114" s="32">
        <v>1921.27</v>
      </c>
      <c r="N114" s="28">
        <f t="shared" si="3"/>
        <v>1.3461565399347541E-2</v>
      </c>
    </row>
    <row r="115" spans="1:14">
      <c r="A115" s="30">
        <v>41803</v>
      </c>
      <c r="B115" s="28">
        <v>20.212477</v>
      </c>
      <c r="C115" s="28">
        <f t="shared" si="2"/>
        <v>-1.1003885382014366E-2</v>
      </c>
      <c r="D115" s="31">
        <v>1936.16</v>
      </c>
      <c r="E115" s="28">
        <f t="shared" si="2"/>
        <v>3.1296339563013217E-3</v>
      </c>
      <c r="J115" s="30">
        <v>42424</v>
      </c>
      <c r="K115" s="28">
        <v>22.975290000000001</v>
      </c>
      <c r="L115" s="28">
        <f t="shared" si="3"/>
        <v>5.9847740875866355E-2</v>
      </c>
      <c r="M115" s="32">
        <v>1978.35</v>
      </c>
      <c r="N115" s="28">
        <f t="shared" si="3"/>
        <v>2.9276738251985342E-2</v>
      </c>
    </row>
    <row r="116" spans="1:14">
      <c r="A116" s="30">
        <v>41806</v>
      </c>
      <c r="B116" s="28">
        <v>20.416193</v>
      </c>
      <c r="C116" s="28">
        <f t="shared" si="2"/>
        <v>1.0028273494733947E-2</v>
      </c>
      <c r="D116" s="31">
        <v>1937.78</v>
      </c>
      <c r="E116" s="28">
        <f t="shared" si="2"/>
        <v>8.3635786534210811E-4</v>
      </c>
      <c r="J116" s="30">
        <v>42431</v>
      </c>
      <c r="K116" s="28">
        <v>23.089561</v>
      </c>
      <c r="L116" s="28">
        <f t="shared" si="3"/>
        <v>4.9613200483554021E-3</v>
      </c>
      <c r="M116" s="32">
        <v>1979.26</v>
      </c>
      <c r="N116" s="28">
        <f t="shared" si="3"/>
        <v>4.5987351762173776E-4</v>
      </c>
    </row>
    <row r="117" spans="1:14">
      <c r="A117" s="30">
        <v>41807</v>
      </c>
      <c r="B117" s="28">
        <v>20.389621999999999</v>
      </c>
      <c r="C117" s="28">
        <f t="shared" si="2"/>
        <v>-1.3023145723432068E-3</v>
      </c>
      <c r="D117" s="31">
        <v>1941.99</v>
      </c>
      <c r="E117" s="28">
        <f t="shared" si="2"/>
        <v>2.1702325923407999E-3</v>
      </c>
      <c r="J117" s="30">
        <v>42438</v>
      </c>
      <c r="K117" s="28">
        <v>23.900883</v>
      </c>
      <c r="L117" s="28">
        <f t="shared" si="3"/>
        <v>3.4534793235574152E-2</v>
      </c>
      <c r="M117" s="32">
        <v>2015.93</v>
      </c>
      <c r="N117" s="28">
        <f t="shared" si="3"/>
        <v>1.8357589908581471E-2</v>
      </c>
    </row>
    <row r="118" spans="1:14">
      <c r="A118" s="30">
        <v>41808</v>
      </c>
      <c r="B118" s="28">
        <v>20.411757999999999</v>
      </c>
      <c r="C118" s="28">
        <f t="shared" si="2"/>
        <v>1.0850614450703888E-3</v>
      </c>
      <c r="D118" s="31">
        <v>1956.98</v>
      </c>
      <c r="E118" s="28">
        <f t="shared" si="2"/>
        <v>7.6892481123617502E-3</v>
      </c>
      <c r="J118" s="30">
        <v>42445</v>
      </c>
      <c r="K118" s="28">
        <v>24.389963000000002</v>
      </c>
      <c r="L118" s="28">
        <f t="shared" si="3"/>
        <v>2.0256291349820724E-2</v>
      </c>
      <c r="M118" s="32">
        <v>2049.8000000000002</v>
      </c>
      <c r="N118" s="28">
        <f t="shared" si="3"/>
        <v>1.6661600031256007E-2</v>
      </c>
    </row>
    <row r="119" spans="1:14">
      <c r="A119" s="30">
        <v>41809</v>
      </c>
      <c r="B119" s="28">
        <v>20.340902</v>
      </c>
      <c r="C119" s="28">
        <f t="shared" si="2"/>
        <v>-3.4773716071482656E-3</v>
      </c>
      <c r="D119" s="31">
        <v>1959.48</v>
      </c>
      <c r="E119" s="28">
        <f t="shared" si="2"/>
        <v>1.2766632824317233E-3</v>
      </c>
      <c r="J119" s="30">
        <v>42452</v>
      </c>
      <c r="K119" s="28">
        <v>24.609359999999999</v>
      </c>
      <c r="L119" s="28">
        <f t="shared" si="3"/>
        <v>8.9551631645580446E-3</v>
      </c>
      <c r="M119" s="32">
        <v>2055.0100000000002</v>
      </c>
      <c r="N119" s="28">
        <f t="shared" si="3"/>
        <v>2.5384867010812698E-3</v>
      </c>
    </row>
    <row r="120" spans="1:14">
      <c r="A120" s="30">
        <v>41810</v>
      </c>
      <c r="B120" s="28">
        <v>20.130534999999998</v>
      </c>
      <c r="C120" s="28">
        <f t="shared" si="2"/>
        <v>-1.0395919206761509E-2</v>
      </c>
      <c r="D120" s="31">
        <v>1962.87</v>
      </c>
      <c r="E120" s="28">
        <f t="shared" si="2"/>
        <v>1.7285560156963271E-3</v>
      </c>
      <c r="J120" s="30">
        <v>42459</v>
      </c>
      <c r="K120" s="28">
        <v>25.096155</v>
      </c>
      <c r="L120" s="28">
        <f t="shared" si="3"/>
        <v>1.958778877631067E-2</v>
      </c>
      <c r="M120" s="32">
        <v>2045.17</v>
      </c>
      <c r="N120" s="28">
        <f t="shared" si="3"/>
        <v>-4.7997984923621121E-3</v>
      </c>
    </row>
    <row r="121" spans="1:14">
      <c r="A121" s="30">
        <v>41813</v>
      </c>
      <c r="B121" s="28">
        <v>20.112826999999999</v>
      </c>
      <c r="C121" s="28">
        <f t="shared" si="2"/>
        <v>-8.800458144065759E-4</v>
      </c>
      <c r="D121" s="31">
        <v>1962.61</v>
      </c>
      <c r="E121" s="28">
        <f t="shared" si="2"/>
        <v>-1.324678767336581E-4</v>
      </c>
      <c r="J121" s="30">
        <v>42466</v>
      </c>
      <c r="K121" s="28">
        <v>25.240133</v>
      </c>
      <c r="L121" s="28">
        <f t="shared" si="3"/>
        <v>5.7206599203813158E-3</v>
      </c>
      <c r="M121" s="32">
        <v>2061.7199999999998</v>
      </c>
      <c r="N121" s="28">
        <f t="shared" si="3"/>
        <v>8.0596702556940906E-3</v>
      </c>
    </row>
    <row r="122" spans="1:14">
      <c r="A122" s="30">
        <v>41814</v>
      </c>
      <c r="B122" s="28">
        <v>19.991039000000001</v>
      </c>
      <c r="C122" s="28">
        <f t="shared" si="2"/>
        <v>-6.0736475824154749E-3</v>
      </c>
      <c r="D122" s="31">
        <v>1949.98</v>
      </c>
      <c r="E122" s="28">
        <f t="shared" si="2"/>
        <v>-6.4561039462425959E-3</v>
      </c>
      <c r="J122" s="30">
        <v>42473</v>
      </c>
      <c r="K122" s="28">
        <v>24.433385999999999</v>
      </c>
      <c r="L122" s="28">
        <f t="shared" si="3"/>
        <v>-3.248483132534663E-2</v>
      </c>
      <c r="M122" s="32">
        <v>2100.8000000000002</v>
      </c>
      <c r="N122" s="28">
        <f t="shared" si="3"/>
        <v>1.8777638686655992E-2</v>
      </c>
    </row>
    <row r="123" spans="1:14">
      <c r="A123" s="30">
        <v>41815</v>
      </c>
      <c r="B123" s="28">
        <v>20.008751</v>
      </c>
      <c r="C123" s="28">
        <f t="shared" si="2"/>
        <v>8.8560470730561936E-4</v>
      </c>
      <c r="D123" s="31">
        <v>1959.53</v>
      </c>
      <c r="E123" s="28">
        <f t="shared" si="2"/>
        <v>4.8855324556185036E-3</v>
      </c>
      <c r="J123" s="30">
        <v>42480</v>
      </c>
      <c r="K123" s="28">
        <v>23.848320000000001</v>
      </c>
      <c r="L123" s="28">
        <f t="shared" si="3"/>
        <v>-2.423670114566475E-2</v>
      </c>
      <c r="M123" s="32">
        <v>2091.6999999999998</v>
      </c>
      <c r="N123" s="28">
        <f t="shared" si="3"/>
        <v>-4.3410920886576502E-3</v>
      </c>
    </row>
    <row r="124" spans="1:14">
      <c r="A124" s="30">
        <v>41816</v>
      </c>
      <c r="B124" s="28">
        <v>20.128328</v>
      </c>
      <c r="C124" s="28">
        <f t="shared" si="2"/>
        <v>5.9584482358250911E-3</v>
      </c>
      <c r="D124" s="31">
        <v>1957.22</v>
      </c>
      <c r="E124" s="28">
        <f t="shared" si="2"/>
        <v>-1.179549508052484E-3</v>
      </c>
      <c r="J124" s="30">
        <v>42487</v>
      </c>
      <c r="K124" s="28">
        <v>21.752596</v>
      </c>
      <c r="L124" s="28">
        <f t="shared" si="3"/>
        <v>-9.1980667867613761E-2</v>
      </c>
      <c r="M124" s="32">
        <v>2063.37</v>
      </c>
      <c r="N124" s="28">
        <f t="shared" si="3"/>
        <v>-1.3636564009499098E-2</v>
      </c>
    </row>
    <row r="125" spans="1:14">
      <c r="A125" s="30">
        <v>41817</v>
      </c>
      <c r="B125" s="28">
        <v>20.367481000000002</v>
      </c>
      <c r="C125" s="28">
        <f t="shared" si="2"/>
        <v>1.1811384250775213E-2</v>
      </c>
      <c r="D125" s="31">
        <v>1960.96</v>
      </c>
      <c r="E125" s="28">
        <f t="shared" si="2"/>
        <v>1.9090501895577705E-3</v>
      </c>
      <c r="J125" s="30">
        <v>42494</v>
      </c>
      <c r="K125" s="28">
        <v>21.350359000000001</v>
      </c>
      <c r="L125" s="28">
        <f t="shared" si="3"/>
        <v>-1.8664552212579517E-2</v>
      </c>
      <c r="M125" s="32">
        <v>2084.39</v>
      </c>
      <c r="N125" s="28">
        <f t="shared" si="3"/>
        <v>1.0135678029518506E-2</v>
      </c>
    </row>
    <row r="126" spans="1:14">
      <c r="A126" s="30">
        <v>41820</v>
      </c>
      <c r="B126" s="28">
        <v>20.577839000000001</v>
      </c>
      <c r="C126" s="28">
        <f t="shared" si="2"/>
        <v>1.0275159689917197E-2</v>
      </c>
      <c r="D126" s="31">
        <v>1960.23</v>
      </c>
      <c r="E126" s="28">
        <f t="shared" si="2"/>
        <v>-3.7233595333743678E-4</v>
      </c>
      <c r="J126" s="30">
        <v>42501</v>
      </c>
      <c r="K126" s="28">
        <v>21.496441000000001</v>
      </c>
      <c r="L126" s="28">
        <f t="shared" si="3"/>
        <v>6.8188320259316105E-3</v>
      </c>
      <c r="M126" s="32">
        <v>2047.21</v>
      </c>
      <c r="N126" s="28">
        <f t="shared" si="3"/>
        <v>-1.799835592565073E-2</v>
      </c>
    </row>
    <row r="127" spans="1:14">
      <c r="A127" s="30">
        <v>41821</v>
      </c>
      <c r="B127" s="28">
        <v>20.708480999999999</v>
      </c>
      <c r="C127" s="28">
        <f t="shared" si="2"/>
        <v>6.3286064745463888E-3</v>
      </c>
      <c r="D127" s="31">
        <v>1973.32</v>
      </c>
      <c r="E127" s="28">
        <f t="shared" si="2"/>
        <v>6.6555901516330051E-3</v>
      </c>
      <c r="J127" s="30">
        <v>42508</v>
      </c>
      <c r="K127" s="28">
        <v>22.510453999999999</v>
      </c>
      <c r="L127" s="28">
        <f t="shared" si="3"/>
        <v>4.6092436981628362E-2</v>
      </c>
      <c r="M127" s="32">
        <v>2076.06</v>
      </c>
      <c r="N127" s="28">
        <f t="shared" si="3"/>
        <v>1.3993976047993286E-2</v>
      </c>
    </row>
    <row r="128" spans="1:14">
      <c r="A128" s="30">
        <v>41822</v>
      </c>
      <c r="B128" s="28">
        <v>20.699625000000001</v>
      </c>
      <c r="C128" s="28">
        <f t="shared" si="2"/>
        <v>-4.2774234276858321E-4</v>
      </c>
      <c r="D128" s="31">
        <v>1974.62</v>
      </c>
      <c r="E128" s="28">
        <f t="shared" si="2"/>
        <v>6.5857132934445356E-4</v>
      </c>
      <c r="J128" s="30">
        <v>42515</v>
      </c>
      <c r="K128" s="28">
        <v>22.961123000000001</v>
      </c>
      <c r="L128" s="28">
        <f t="shared" si="3"/>
        <v>1.9822657875966699E-2</v>
      </c>
      <c r="M128" s="32">
        <v>2096.9499999999998</v>
      </c>
      <c r="N128" s="28">
        <f t="shared" si="3"/>
        <v>1.0012041429345383E-2</v>
      </c>
    </row>
    <row r="129" spans="1:14">
      <c r="A129" s="30">
        <v>41823</v>
      </c>
      <c r="B129" s="28">
        <v>20.821413</v>
      </c>
      <c r="C129" s="28">
        <f t="shared" si="2"/>
        <v>5.8663441538923935E-3</v>
      </c>
      <c r="D129" s="31">
        <v>1985.44</v>
      </c>
      <c r="E129" s="28">
        <f t="shared" si="2"/>
        <v>5.464577266607205E-3</v>
      </c>
      <c r="J129" s="30">
        <v>42522</v>
      </c>
      <c r="K129" s="28">
        <v>22.770273</v>
      </c>
      <c r="L129" s="28">
        <f t="shared" si="3"/>
        <v>-8.3466119414894666E-3</v>
      </c>
      <c r="M129" s="32">
        <v>2112.13</v>
      </c>
      <c r="N129" s="28">
        <f t="shared" si="3"/>
        <v>7.2130089305633346E-3</v>
      </c>
    </row>
    <row r="130" spans="1:14">
      <c r="A130" s="30">
        <v>41827</v>
      </c>
      <c r="B130" s="28">
        <v>21.250996000000001</v>
      </c>
      <c r="C130" s="28">
        <f t="shared" si="2"/>
        <v>2.0421836541178247E-2</v>
      </c>
      <c r="D130" s="31">
        <v>1977.65</v>
      </c>
      <c r="E130" s="28">
        <f t="shared" si="2"/>
        <v>-3.9312809110307861E-3</v>
      </c>
      <c r="J130" s="30">
        <v>42529</v>
      </c>
      <c r="K130" s="28">
        <v>22.409276999999999</v>
      </c>
      <c r="L130" s="28">
        <f t="shared" si="3"/>
        <v>-1.598084455406179E-2</v>
      </c>
      <c r="M130" s="32">
        <v>2075.3200000000002</v>
      </c>
      <c r="N130" s="28">
        <f t="shared" si="3"/>
        <v>-1.7581558320075137E-2</v>
      </c>
    </row>
    <row r="131" spans="1:14">
      <c r="A131" s="30">
        <v>41828</v>
      </c>
      <c r="B131" s="28">
        <v>21.113707999999999</v>
      </c>
      <c r="C131" s="28">
        <f t="shared" si="2"/>
        <v>-6.4812670748613426E-3</v>
      </c>
      <c r="D131" s="31">
        <v>1963.71</v>
      </c>
      <c r="E131" s="28">
        <f t="shared" si="2"/>
        <v>-7.0737299445003425E-3</v>
      </c>
      <c r="J131" s="30">
        <v>42536</v>
      </c>
      <c r="K131" s="28">
        <v>22.052885</v>
      </c>
      <c r="L131" s="28">
        <f t="shared" si="3"/>
        <v>-1.6031592573082096E-2</v>
      </c>
      <c r="M131" s="32">
        <v>2088.9</v>
      </c>
      <c r="N131" s="28">
        <f t="shared" si="3"/>
        <v>6.5222529745408249E-3</v>
      </c>
    </row>
    <row r="132" spans="1:14">
      <c r="A132" s="30">
        <v>41829</v>
      </c>
      <c r="B132" s="28">
        <v>21.12257</v>
      </c>
      <c r="C132" s="28">
        <f t="shared" si="2"/>
        <v>4.196392556203841E-4</v>
      </c>
      <c r="D132" s="31">
        <v>1972.83</v>
      </c>
      <c r="E132" s="28">
        <f t="shared" si="2"/>
        <v>4.6335189363311338E-3</v>
      </c>
      <c r="J132" s="30">
        <v>42543</v>
      </c>
      <c r="K132" s="28">
        <v>21.519435999999999</v>
      </c>
      <c r="L132" s="28">
        <f t="shared" si="3"/>
        <v>-2.4486905564742149E-2</v>
      </c>
      <c r="M132" s="32">
        <v>2036.09</v>
      </c>
      <c r="N132" s="28">
        <f t="shared" si="3"/>
        <v>-2.5606309600979305E-2</v>
      </c>
    </row>
    <row r="133" spans="1:14">
      <c r="A133" s="30">
        <v>41830</v>
      </c>
      <c r="B133" s="28">
        <v>21.045055000000001</v>
      </c>
      <c r="C133" s="28">
        <f t="shared" ref="C133:E196" si="4">LN(B133/B132)</f>
        <v>-3.676521374534916E-3</v>
      </c>
      <c r="D133" s="31">
        <v>1964.68</v>
      </c>
      <c r="E133" s="28">
        <f t="shared" si="4"/>
        <v>-4.1396779380016777E-3</v>
      </c>
      <c r="J133" s="30">
        <v>42550</v>
      </c>
      <c r="K133" s="28">
        <v>21.841342999999998</v>
      </c>
      <c r="L133" s="28">
        <f t="shared" ref="L133:N196" si="5">LN(K133/K132)</f>
        <v>1.4848114888395233E-2</v>
      </c>
      <c r="M133" s="32">
        <v>2088.5500000000002</v>
      </c>
      <c r="N133" s="28">
        <f t="shared" si="5"/>
        <v>2.5438743262270809E-2</v>
      </c>
    </row>
    <row r="134" spans="1:14">
      <c r="A134" s="30">
        <v>41831</v>
      </c>
      <c r="B134" s="28">
        <v>21.084918999999999</v>
      </c>
      <c r="C134" s="28">
        <f t="shared" si="4"/>
        <v>1.8924299311006553E-3</v>
      </c>
      <c r="D134" s="31">
        <v>1967.57</v>
      </c>
      <c r="E134" s="28">
        <f t="shared" si="4"/>
        <v>1.4698966344172243E-3</v>
      </c>
      <c r="J134" s="30">
        <v>42557</v>
      </c>
      <c r="K134" s="28">
        <v>22.400084</v>
      </c>
      <c r="L134" s="28">
        <f t="shared" si="5"/>
        <v>2.5260067193863037E-2</v>
      </c>
      <c r="M134" s="32">
        <v>2152.14</v>
      </c>
      <c r="N134" s="28">
        <f t="shared" si="5"/>
        <v>2.9992650649820068E-2</v>
      </c>
    </row>
    <row r="135" spans="1:14">
      <c r="A135" s="30">
        <v>41834</v>
      </c>
      <c r="B135" s="28">
        <v>21.357285999999998</v>
      </c>
      <c r="C135" s="28">
        <f t="shared" si="4"/>
        <v>1.2834900496510013E-2</v>
      </c>
      <c r="D135" s="31">
        <v>1977.1</v>
      </c>
      <c r="E135" s="28">
        <f t="shared" si="4"/>
        <v>4.8318457773097378E-3</v>
      </c>
      <c r="J135" s="30">
        <v>42564</v>
      </c>
      <c r="K135" s="28">
        <v>22.963412999999999</v>
      </c>
      <c r="L135" s="28">
        <f t="shared" si="5"/>
        <v>2.4837501375896187E-2</v>
      </c>
      <c r="M135" s="32">
        <v>2163.7800000000002</v>
      </c>
      <c r="N135" s="28">
        <f t="shared" si="5"/>
        <v>5.3939962846052672E-3</v>
      </c>
    </row>
    <row r="136" spans="1:14">
      <c r="A136" s="30">
        <v>41835</v>
      </c>
      <c r="B136" s="28">
        <v>21.107063</v>
      </c>
      <c r="C136" s="28">
        <f t="shared" si="4"/>
        <v>-1.1785222288302873E-2</v>
      </c>
      <c r="D136" s="31">
        <v>1973.28</v>
      </c>
      <c r="E136" s="28">
        <f t="shared" si="4"/>
        <v>-1.9339917631568573E-3</v>
      </c>
      <c r="J136" s="30">
        <v>42571</v>
      </c>
      <c r="K136" s="28">
        <v>22.227633000000001</v>
      </c>
      <c r="L136" s="28">
        <f t="shared" si="5"/>
        <v>-3.2565965655703522E-2</v>
      </c>
      <c r="M136" s="32">
        <v>2169.1799999999998</v>
      </c>
      <c r="N136" s="28">
        <f t="shared" si="5"/>
        <v>2.4925237231375641E-3</v>
      </c>
    </row>
    <row r="137" spans="1:14">
      <c r="A137" s="30">
        <v>41836</v>
      </c>
      <c r="B137" s="28">
        <v>20.987490000000001</v>
      </c>
      <c r="C137" s="28">
        <f t="shared" si="4"/>
        <v>-5.6811778763474286E-3</v>
      </c>
      <c r="D137" s="31">
        <v>1981.57</v>
      </c>
      <c r="E137" s="28">
        <f t="shared" si="4"/>
        <v>4.1923269614829216E-3</v>
      </c>
      <c r="J137" s="30">
        <v>42578</v>
      </c>
      <c r="K137" s="28">
        <v>24.023409000000001</v>
      </c>
      <c r="L137" s="28">
        <f t="shared" si="5"/>
        <v>7.7692485404678394E-2</v>
      </c>
      <c r="M137" s="32">
        <v>2157.0300000000002</v>
      </c>
      <c r="N137" s="28">
        <f t="shared" si="5"/>
        <v>-5.6169404371853773E-3</v>
      </c>
    </row>
    <row r="138" spans="1:14">
      <c r="A138" s="30">
        <v>41837</v>
      </c>
      <c r="B138" s="28">
        <v>20.613265999999999</v>
      </c>
      <c r="C138" s="28">
        <f t="shared" si="4"/>
        <v>-1.7991696817910772E-2</v>
      </c>
      <c r="D138" s="31">
        <v>1958.12</v>
      </c>
      <c r="E138" s="28">
        <f t="shared" si="4"/>
        <v>-1.1904630539099268E-2</v>
      </c>
      <c r="J138" s="30">
        <v>42585</v>
      </c>
      <c r="K138" s="28">
        <v>25.019020000000001</v>
      </c>
      <c r="L138" s="28">
        <f t="shared" si="5"/>
        <v>4.0607605627750988E-2</v>
      </c>
      <c r="M138" s="32">
        <v>2181.7399999999998</v>
      </c>
      <c r="N138" s="28">
        <f t="shared" si="5"/>
        <v>1.1390448058069731E-2</v>
      </c>
    </row>
    <row r="139" spans="1:14">
      <c r="A139" s="30">
        <v>41838</v>
      </c>
      <c r="B139" s="28">
        <v>20.909986</v>
      </c>
      <c r="C139" s="28">
        <f t="shared" si="4"/>
        <v>1.4291994792667621E-2</v>
      </c>
      <c r="D139" s="31">
        <v>1978.22</v>
      </c>
      <c r="E139" s="28">
        <f t="shared" si="4"/>
        <v>1.0212621215764002E-2</v>
      </c>
      <c r="J139" s="30">
        <v>42592</v>
      </c>
      <c r="K139" s="28">
        <v>25.286324</v>
      </c>
      <c r="L139" s="28">
        <f t="shared" si="5"/>
        <v>1.062736061556763E-2</v>
      </c>
      <c r="M139" s="32">
        <v>2178.15</v>
      </c>
      <c r="N139" s="28">
        <f t="shared" si="5"/>
        <v>-1.6468309114932359E-3</v>
      </c>
    </row>
    <row r="140" spans="1:14">
      <c r="A140" s="30">
        <v>41841</v>
      </c>
      <c r="B140" s="28">
        <v>20.801483000000001</v>
      </c>
      <c r="C140" s="28">
        <f t="shared" si="4"/>
        <v>-5.2025616616025944E-3</v>
      </c>
      <c r="D140" s="31">
        <v>1973.63</v>
      </c>
      <c r="E140" s="28">
        <f t="shared" si="4"/>
        <v>-2.322963707646372E-3</v>
      </c>
      <c r="J140" s="30">
        <v>42599</v>
      </c>
      <c r="K140" s="28">
        <v>25.163796999999999</v>
      </c>
      <c r="L140" s="28">
        <f t="shared" si="5"/>
        <v>-4.8573616268639975E-3</v>
      </c>
      <c r="M140" s="32">
        <v>2186.9</v>
      </c>
      <c r="N140" s="28">
        <f t="shared" si="5"/>
        <v>4.0091232494211797E-3</v>
      </c>
    </row>
    <row r="141" spans="1:14">
      <c r="A141" s="30">
        <v>41842</v>
      </c>
      <c r="B141" s="28">
        <v>20.974207</v>
      </c>
      <c r="C141" s="28">
        <f t="shared" si="4"/>
        <v>8.2691624829705282E-3</v>
      </c>
      <c r="D141" s="31">
        <v>1983.53</v>
      </c>
      <c r="E141" s="28">
        <f t="shared" si="4"/>
        <v>5.0035988712575554E-3</v>
      </c>
      <c r="J141" s="30">
        <v>42606</v>
      </c>
      <c r="K141" s="28">
        <v>24.504936000000001</v>
      </c>
      <c r="L141" s="28">
        <f t="shared" si="5"/>
        <v>-2.6531767949083827E-2</v>
      </c>
      <c r="M141" s="32">
        <v>2176.12</v>
      </c>
      <c r="N141" s="28">
        <f t="shared" si="5"/>
        <v>-4.941541380163882E-3</v>
      </c>
    </row>
    <row r="142" spans="1:14">
      <c r="A142" s="30">
        <v>41843</v>
      </c>
      <c r="B142" s="28">
        <v>21.521145000000001</v>
      </c>
      <c r="C142" s="28">
        <f t="shared" si="4"/>
        <v>2.5742495472301428E-2</v>
      </c>
      <c r="D142" s="31">
        <v>1987.01</v>
      </c>
      <c r="E142" s="28">
        <f t="shared" si="4"/>
        <v>1.7529106323480887E-3</v>
      </c>
      <c r="J142" s="30">
        <v>42613</v>
      </c>
      <c r="K142" s="28">
        <v>24.897946999999998</v>
      </c>
      <c r="L142" s="28">
        <f t="shared" si="5"/>
        <v>1.5910783626088713E-2</v>
      </c>
      <c r="M142" s="32">
        <v>2186.48</v>
      </c>
      <c r="N142" s="28">
        <f t="shared" si="5"/>
        <v>4.7494702583811381E-3</v>
      </c>
    </row>
    <row r="143" spans="1:14">
      <c r="A143" s="30">
        <v>41844</v>
      </c>
      <c r="B143" s="28">
        <v>21.485720000000001</v>
      </c>
      <c r="C143" s="28">
        <f t="shared" si="4"/>
        <v>-1.6474117800426642E-3</v>
      </c>
      <c r="D143" s="31">
        <v>1987.98</v>
      </c>
      <c r="E143" s="28">
        <f t="shared" si="4"/>
        <v>4.8805155195559568E-4</v>
      </c>
      <c r="J143" s="30">
        <v>42620</v>
      </c>
      <c r="K143" s="28">
        <v>24.955738</v>
      </c>
      <c r="L143" s="28">
        <f t="shared" si="5"/>
        <v>2.3184254438169362E-3</v>
      </c>
      <c r="M143" s="32">
        <v>2127.02</v>
      </c>
      <c r="N143" s="28">
        <f t="shared" si="5"/>
        <v>-2.7571005701560979E-2</v>
      </c>
    </row>
    <row r="144" spans="1:14">
      <c r="A144" s="30">
        <v>41845</v>
      </c>
      <c r="B144" s="28">
        <v>21.627438000000001</v>
      </c>
      <c r="C144" s="28">
        <f t="shared" si="4"/>
        <v>6.5742579298353502E-3</v>
      </c>
      <c r="D144" s="31">
        <v>1978.34</v>
      </c>
      <c r="E144" s="28">
        <f t="shared" si="4"/>
        <v>-4.8609385938271771E-3</v>
      </c>
      <c r="J144" s="30">
        <v>42627</v>
      </c>
      <c r="K144" s="28">
        <v>26.254958999999999</v>
      </c>
      <c r="L144" s="28">
        <f t="shared" si="5"/>
        <v>5.0751109765179866E-2</v>
      </c>
      <c r="M144" s="32">
        <v>2139.7600000000002</v>
      </c>
      <c r="N144" s="28">
        <f t="shared" si="5"/>
        <v>5.9717341230242993E-3</v>
      </c>
    </row>
    <row r="145" spans="1:14">
      <c r="A145" s="30">
        <v>41848</v>
      </c>
      <c r="B145" s="28">
        <v>21.926366999999999</v>
      </c>
      <c r="C145" s="28">
        <f t="shared" si="4"/>
        <v>1.3727098883722467E-2</v>
      </c>
      <c r="D145" s="31">
        <v>1978.91</v>
      </c>
      <c r="E145" s="28">
        <f t="shared" si="4"/>
        <v>2.8807884462303611E-4</v>
      </c>
      <c r="J145" s="30">
        <v>42634</v>
      </c>
      <c r="K145" s="28">
        <v>26.143996999999999</v>
      </c>
      <c r="L145" s="28">
        <f t="shared" si="5"/>
        <v>-4.2352815527866745E-3</v>
      </c>
      <c r="M145" s="32">
        <v>2159.9299999999998</v>
      </c>
      <c r="N145" s="28">
        <f t="shared" si="5"/>
        <v>9.3821405517139338E-3</v>
      </c>
    </row>
    <row r="146" spans="1:14">
      <c r="A146" s="30">
        <v>41849</v>
      </c>
      <c r="B146" s="28">
        <v>21.784647</v>
      </c>
      <c r="C146" s="28">
        <f t="shared" si="4"/>
        <v>-6.4844296032341951E-3</v>
      </c>
      <c r="D146" s="31">
        <v>1969.95</v>
      </c>
      <c r="E146" s="28">
        <f t="shared" si="4"/>
        <v>-4.538026355257783E-3</v>
      </c>
      <c r="J146" s="30">
        <v>42641</v>
      </c>
      <c r="K146" s="28">
        <v>26.123190000000001</v>
      </c>
      <c r="L146" s="28">
        <f t="shared" si="5"/>
        <v>-7.9617834030851718E-4</v>
      </c>
      <c r="M146" s="32">
        <v>2150.4899999999998</v>
      </c>
      <c r="N146" s="28">
        <f t="shared" si="5"/>
        <v>-4.3800906140690427E-3</v>
      </c>
    </row>
    <row r="147" spans="1:14">
      <c r="A147" s="30">
        <v>41850</v>
      </c>
      <c r="B147" s="28">
        <v>21.733720999999999</v>
      </c>
      <c r="C147" s="28">
        <f t="shared" si="4"/>
        <v>-2.3404380994357966E-3</v>
      </c>
      <c r="D147" s="31">
        <v>1970.07</v>
      </c>
      <c r="E147" s="28">
        <f t="shared" si="4"/>
        <v>6.0913396397368385E-5</v>
      </c>
      <c r="J147" s="30">
        <v>42648</v>
      </c>
      <c r="K147" s="28">
        <v>26.886081999999998</v>
      </c>
      <c r="L147" s="28">
        <f t="shared" si="5"/>
        <v>2.8785329353668399E-2</v>
      </c>
      <c r="M147" s="32">
        <v>2136.73</v>
      </c>
      <c r="N147" s="28">
        <f t="shared" si="5"/>
        <v>-6.4191001386406134E-3</v>
      </c>
    </row>
    <row r="148" spans="1:14">
      <c r="A148" s="30">
        <v>41851</v>
      </c>
      <c r="B148" s="28">
        <v>21.169063999999999</v>
      </c>
      <c r="C148" s="28">
        <f t="shared" si="4"/>
        <v>-2.6324146869081352E-2</v>
      </c>
      <c r="D148" s="31">
        <v>1930.67</v>
      </c>
      <c r="E148" s="28">
        <f t="shared" si="4"/>
        <v>-2.0201982180386897E-2</v>
      </c>
      <c r="J148" s="30">
        <v>42655</v>
      </c>
      <c r="K148" s="28">
        <v>27.156559000000001</v>
      </c>
      <c r="L148" s="28">
        <f t="shared" si="5"/>
        <v>1.0009846055153829E-2</v>
      </c>
      <c r="M148" s="32">
        <v>2139.6</v>
      </c>
      <c r="N148" s="28">
        <f t="shared" si="5"/>
        <v>1.3422726641326801E-3</v>
      </c>
    </row>
    <row r="149" spans="1:14">
      <c r="A149" s="30">
        <v>41852</v>
      </c>
      <c r="B149" s="28">
        <v>21.286417</v>
      </c>
      <c r="C149" s="28">
        <f t="shared" si="4"/>
        <v>5.5282991083893908E-3</v>
      </c>
      <c r="D149" s="31">
        <v>1925.15</v>
      </c>
      <c r="E149" s="28">
        <f t="shared" si="4"/>
        <v>-2.8632061512498972E-3</v>
      </c>
      <c r="J149" s="30">
        <v>42662</v>
      </c>
      <c r="K149" s="28">
        <v>27.336884000000001</v>
      </c>
      <c r="L149" s="28">
        <f t="shared" si="5"/>
        <v>6.6182516015594337E-3</v>
      </c>
      <c r="M149" s="32">
        <v>2143.16</v>
      </c>
      <c r="N149" s="28">
        <f t="shared" si="5"/>
        <v>1.6624797186573961E-3</v>
      </c>
    </row>
    <row r="150" spans="1:14">
      <c r="A150" s="30">
        <v>41855</v>
      </c>
      <c r="B150" s="28">
        <v>21.166844999999999</v>
      </c>
      <c r="C150" s="28">
        <f t="shared" si="4"/>
        <v>-5.6331273761387329E-3</v>
      </c>
      <c r="D150" s="31">
        <v>1938.99</v>
      </c>
      <c r="E150" s="28">
        <f t="shared" si="4"/>
        <v>7.1633321677376247E-3</v>
      </c>
      <c r="J150" s="30">
        <v>42669</v>
      </c>
      <c r="K150" s="28">
        <v>25.774111000000001</v>
      </c>
      <c r="L150" s="28">
        <f t="shared" si="5"/>
        <v>-5.886631407601884E-2</v>
      </c>
      <c r="M150" s="32">
        <v>2111.7199999999998</v>
      </c>
      <c r="N150" s="28">
        <f t="shared" si="5"/>
        <v>-1.4778594096118832E-2</v>
      </c>
    </row>
    <row r="151" spans="1:14">
      <c r="A151" s="30">
        <v>41856</v>
      </c>
      <c r="B151" s="28">
        <v>21.062781999999999</v>
      </c>
      <c r="C151" s="28">
        <f t="shared" si="4"/>
        <v>-4.9284456449069742E-3</v>
      </c>
      <c r="D151" s="31">
        <v>1920.21</v>
      </c>
      <c r="E151" s="28">
        <f t="shared" si="4"/>
        <v>-9.7326638909587745E-3</v>
      </c>
      <c r="J151" s="30">
        <v>42676</v>
      </c>
      <c r="K151" s="28">
        <v>25.674702</v>
      </c>
      <c r="L151" s="28">
        <f t="shared" si="5"/>
        <v>-3.8643893965201125E-3</v>
      </c>
      <c r="M151" s="32">
        <v>2139.56</v>
      </c>
      <c r="N151" s="28">
        <f t="shared" si="5"/>
        <v>1.3097419119512883E-2</v>
      </c>
    </row>
    <row r="152" spans="1:14">
      <c r="A152" s="30">
        <v>41857</v>
      </c>
      <c r="B152" s="28">
        <v>21.027349000000001</v>
      </c>
      <c r="C152" s="28">
        <f t="shared" si="4"/>
        <v>-1.6836729907217425E-3</v>
      </c>
      <c r="D152" s="31">
        <v>1920.24</v>
      </c>
      <c r="E152" s="28">
        <f t="shared" si="4"/>
        <v>1.5623169160183835E-5</v>
      </c>
      <c r="J152" s="30">
        <v>42683</v>
      </c>
      <c r="K152" s="28">
        <v>24.888677999999999</v>
      </c>
      <c r="L152" s="28">
        <f t="shared" si="5"/>
        <v>-3.1093147857400912E-2</v>
      </c>
      <c r="M152" s="32">
        <v>2180.39</v>
      </c>
      <c r="N152" s="28">
        <f t="shared" si="5"/>
        <v>1.8903559466024268E-2</v>
      </c>
    </row>
    <row r="153" spans="1:14">
      <c r="A153" s="30">
        <v>41858</v>
      </c>
      <c r="B153" s="28">
        <v>21.025126</v>
      </c>
      <c r="C153" s="28">
        <f t="shared" si="4"/>
        <v>-1.0572504957543589E-4</v>
      </c>
      <c r="D153" s="31">
        <v>1909.57</v>
      </c>
      <c r="E153" s="28">
        <f t="shared" si="4"/>
        <v>-5.5720924051179815E-3</v>
      </c>
      <c r="J153" s="30">
        <v>42690</v>
      </c>
      <c r="K153" s="28">
        <v>25.978470000000002</v>
      </c>
      <c r="L153" s="28">
        <f t="shared" si="5"/>
        <v>4.2855116784681582E-2</v>
      </c>
      <c r="M153" s="32">
        <v>2202.94</v>
      </c>
      <c r="N153" s="28">
        <f t="shared" si="5"/>
        <v>1.0289071978442078E-2</v>
      </c>
    </row>
    <row r="154" spans="1:14">
      <c r="A154" s="30">
        <v>41859</v>
      </c>
      <c r="B154" s="28">
        <v>21.082979000000002</v>
      </c>
      <c r="C154" s="28">
        <f t="shared" si="4"/>
        <v>2.7478337674906937E-3</v>
      </c>
      <c r="D154" s="31">
        <v>1931.59</v>
      </c>
      <c r="E154" s="28">
        <f t="shared" si="4"/>
        <v>1.146541212583467E-2</v>
      </c>
      <c r="J154" s="30">
        <v>42697</v>
      </c>
      <c r="K154" s="28">
        <v>25.899473</v>
      </c>
      <c r="L154" s="28">
        <f t="shared" si="5"/>
        <v>-3.0454970451867236E-3</v>
      </c>
      <c r="M154" s="32">
        <v>2204.66</v>
      </c>
      <c r="N154" s="28">
        <f t="shared" si="5"/>
        <v>7.8047013672242799E-4</v>
      </c>
    </row>
    <row r="155" spans="1:14">
      <c r="A155" s="30">
        <v>41862</v>
      </c>
      <c r="B155" s="28">
        <v>21.361149000000001</v>
      </c>
      <c r="C155" s="28">
        <f t="shared" si="4"/>
        <v>1.3107772305899037E-2</v>
      </c>
      <c r="D155" s="31">
        <v>1936.92</v>
      </c>
      <c r="E155" s="28">
        <f t="shared" si="4"/>
        <v>2.7555846424938877E-3</v>
      </c>
      <c r="J155" s="30">
        <v>42704</v>
      </c>
      <c r="K155" s="28">
        <v>25.548594999999999</v>
      </c>
      <c r="L155" s="28">
        <f t="shared" si="5"/>
        <v>-1.364029608569968E-2</v>
      </c>
      <c r="M155" s="32">
        <v>2212.23</v>
      </c>
      <c r="N155" s="28">
        <f t="shared" si="5"/>
        <v>3.4277545567019513E-3</v>
      </c>
    </row>
    <row r="156" spans="1:14">
      <c r="A156" s="30">
        <v>41863</v>
      </c>
      <c r="B156" s="28">
        <v>21.356693</v>
      </c>
      <c r="C156" s="28">
        <f t="shared" si="4"/>
        <v>-2.0862477164282188E-4</v>
      </c>
      <c r="D156" s="31">
        <v>1933.75</v>
      </c>
      <c r="E156" s="28">
        <f t="shared" si="4"/>
        <v>-1.6379596859127999E-3</v>
      </c>
      <c r="J156" s="30">
        <v>42711</v>
      </c>
      <c r="K156" s="28">
        <v>26.766195</v>
      </c>
      <c r="L156" s="28">
        <f t="shared" si="5"/>
        <v>4.6557385787239058E-2</v>
      </c>
      <c r="M156" s="32">
        <v>2271.7199999999998</v>
      </c>
      <c r="N156" s="28">
        <f t="shared" si="5"/>
        <v>2.6536197272781236E-2</v>
      </c>
    </row>
    <row r="157" spans="1:14">
      <c r="A157" s="30">
        <v>41864</v>
      </c>
      <c r="B157" s="28">
        <v>21.639320000000001</v>
      </c>
      <c r="C157" s="28">
        <f t="shared" si="4"/>
        <v>1.3146850185917913E-2</v>
      </c>
      <c r="D157" s="31">
        <v>1946.72</v>
      </c>
      <c r="E157" s="28">
        <f t="shared" si="4"/>
        <v>6.6847821518630762E-3</v>
      </c>
      <c r="J157" s="30">
        <v>42718</v>
      </c>
      <c r="K157" s="28">
        <v>27.175158</v>
      </c>
      <c r="L157" s="28">
        <f t="shared" si="5"/>
        <v>1.5163536448133222E-2</v>
      </c>
      <c r="M157" s="32">
        <v>2270.7600000000002</v>
      </c>
      <c r="N157" s="28">
        <f t="shared" si="5"/>
        <v>-4.2267660585932015E-4</v>
      </c>
    </row>
    <row r="158" spans="1:14">
      <c r="A158" s="30">
        <v>41865</v>
      </c>
      <c r="B158" s="28">
        <v>21.697179999999999</v>
      </c>
      <c r="C158" s="28">
        <f t="shared" si="4"/>
        <v>2.6702679902657657E-3</v>
      </c>
      <c r="D158" s="31">
        <v>1955.18</v>
      </c>
      <c r="E158" s="28">
        <f t="shared" si="4"/>
        <v>4.3363557532498454E-3</v>
      </c>
      <c r="J158" s="30">
        <v>42725</v>
      </c>
      <c r="K158" s="28">
        <v>27.247195999999999</v>
      </c>
      <c r="L158" s="28">
        <f t="shared" si="5"/>
        <v>2.6473695744061382E-3</v>
      </c>
      <c r="M158" s="32">
        <v>2268.88</v>
      </c>
      <c r="N158" s="28">
        <f t="shared" si="5"/>
        <v>-8.2825955691447452E-4</v>
      </c>
    </row>
    <row r="159" spans="1:14">
      <c r="A159" s="30">
        <v>41866</v>
      </c>
      <c r="B159" s="28">
        <v>21.803995</v>
      </c>
      <c r="C159" s="28">
        <f t="shared" si="4"/>
        <v>4.9109117016649809E-3</v>
      </c>
      <c r="D159" s="31">
        <v>1955.06</v>
      </c>
      <c r="E159" s="28">
        <f t="shared" si="4"/>
        <v>-6.1377306783057757E-5</v>
      </c>
      <c r="J159" s="30">
        <v>42732</v>
      </c>
      <c r="K159" s="28">
        <v>26.989263999999999</v>
      </c>
      <c r="L159" s="28">
        <f t="shared" si="5"/>
        <v>-9.5114594331347415E-3</v>
      </c>
      <c r="M159" s="32">
        <v>2257.83</v>
      </c>
      <c r="N159" s="28">
        <f t="shared" si="5"/>
        <v>-4.8821426370788375E-3</v>
      </c>
    </row>
    <row r="160" spans="1:14">
      <c r="A160" s="30">
        <v>41869</v>
      </c>
      <c r="B160" s="28">
        <v>22.066583999999999</v>
      </c>
      <c r="C160" s="28">
        <f t="shared" si="4"/>
        <v>1.1971218157984491E-2</v>
      </c>
      <c r="D160" s="31">
        <v>1971.74</v>
      </c>
      <c r="E160" s="28">
        <f t="shared" si="4"/>
        <v>8.4955181427630883E-3</v>
      </c>
      <c r="J160" s="30">
        <v>42739</v>
      </c>
      <c r="K160" s="28">
        <v>27.677071000000002</v>
      </c>
      <c r="L160" s="28">
        <f t="shared" si="5"/>
        <v>2.5165151377446807E-2</v>
      </c>
      <c r="M160" s="32">
        <v>2268.9</v>
      </c>
      <c r="N160" s="28">
        <f t="shared" si="5"/>
        <v>4.8909575201274433E-3</v>
      </c>
    </row>
    <row r="161" spans="1:14">
      <c r="A161" s="30">
        <v>41870</v>
      </c>
      <c r="B161" s="28">
        <v>22.371466000000002</v>
      </c>
      <c r="C161" s="28">
        <f t="shared" si="4"/>
        <v>1.3721879508081951E-2</v>
      </c>
      <c r="D161" s="31">
        <v>1981.6</v>
      </c>
      <c r="E161" s="28">
        <f t="shared" si="4"/>
        <v>4.9881975467810091E-3</v>
      </c>
      <c r="J161" s="30">
        <v>42746</v>
      </c>
      <c r="K161" s="28">
        <v>27.883869000000001</v>
      </c>
      <c r="L161" s="28">
        <f t="shared" si="5"/>
        <v>7.4440409018788622E-3</v>
      </c>
      <c r="M161" s="32">
        <v>2267.89</v>
      </c>
      <c r="N161" s="28">
        <f t="shared" si="5"/>
        <v>-4.4524874049098594E-4</v>
      </c>
    </row>
    <row r="162" spans="1:14">
      <c r="A162" s="30">
        <v>41871</v>
      </c>
      <c r="B162" s="28">
        <v>22.380362999999999</v>
      </c>
      <c r="C162" s="28">
        <f t="shared" si="4"/>
        <v>3.9761503902841958E-4</v>
      </c>
      <c r="D162" s="31">
        <v>1986.51</v>
      </c>
      <c r="E162" s="28">
        <f t="shared" si="4"/>
        <v>2.4747310461941839E-3</v>
      </c>
      <c r="J162" s="30">
        <v>42753</v>
      </c>
      <c r="K162" s="28">
        <v>27.876905000000001</v>
      </c>
      <c r="L162" s="28">
        <f t="shared" si="5"/>
        <v>-2.4978132607010437E-4</v>
      </c>
      <c r="M162" s="32">
        <v>2280.0700000000002</v>
      </c>
      <c r="N162" s="28">
        <f t="shared" si="5"/>
        <v>5.356260441980557E-3</v>
      </c>
    </row>
    <row r="163" spans="1:14">
      <c r="A163" s="30">
        <v>41872</v>
      </c>
      <c r="B163" s="28">
        <v>22.382587000000001</v>
      </c>
      <c r="C163" s="28">
        <f t="shared" si="4"/>
        <v>9.9367892501771448E-5</v>
      </c>
      <c r="D163" s="31">
        <v>1992.37</v>
      </c>
      <c r="E163" s="28">
        <f t="shared" si="4"/>
        <v>2.9455546469971902E-3</v>
      </c>
      <c r="J163" s="30">
        <v>42760</v>
      </c>
      <c r="K163" s="28">
        <v>28.197566999999999</v>
      </c>
      <c r="L163" s="28">
        <f t="shared" si="5"/>
        <v>1.1437129373952498E-2</v>
      </c>
      <c r="M163" s="32">
        <v>2278.87</v>
      </c>
      <c r="N163" s="28">
        <f t="shared" si="5"/>
        <v>-5.2643817541534301E-4</v>
      </c>
    </row>
    <row r="164" spans="1:14">
      <c r="A164" s="30">
        <v>41873</v>
      </c>
      <c r="B164" s="28">
        <v>22.547260000000001</v>
      </c>
      <c r="C164" s="28">
        <f t="shared" si="4"/>
        <v>7.3302603216063925E-3</v>
      </c>
      <c r="D164" s="31">
        <v>1988.4</v>
      </c>
      <c r="E164" s="28">
        <f t="shared" si="4"/>
        <v>-1.9945896478233741E-3</v>
      </c>
      <c r="J164" s="30">
        <v>42767</v>
      </c>
      <c r="K164" s="28">
        <v>30.563047000000001</v>
      </c>
      <c r="L164" s="28">
        <f t="shared" si="5"/>
        <v>8.0555967199155531E-2</v>
      </c>
      <c r="M164" s="32">
        <v>2293.08</v>
      </c>
      <c r="N164" s="28">
        <f t="shared" si="5"/>
        <v>6.2161859851122591E-3</v>
      </c>
    </row>
    <row r="165" spans="1:14">
      <c r="A165" s="30">
        <v>41876</v>
      </c>
      <c r="B165" s="28">
        <v>22.596226000000001</v>
      </c>
      <c r="C165" s="28">
        <f t="shared" si="4"/>
        <v>2.1693503777338451E-3</v>
      </c>
      <c r="D165" s="31">
        <v>1997.92</v>
      </c>
      <c r="E165" s="28">
        <f t="shared" si="4"/>
        <v>4.7763441463173689E-3</v>
      </c>
      <c r="J165" s="30">
        <v>42774</v>
      </c>
      <c r="K165" s="28">
        <v>31.374009999999998</v>
      </c>
      <c r="L165" s="28">
        <f t="shared" si="5"/>
        <v>2.6188178343817013E-2</v>
      </c>
      <c r="M165" s="32">
        <v>2337.58</v>
      </c>
      <c r="N165" s="28">
        <f t="shared" si="5"/>
        <v>1.9220314134843968E-2</v>
      </c>
    </row>
    <row r="166" spans="1:14">
      <c r="A166" s="30">
        <v>41877</v>
      </c>
      <c r="B166" s="28">
        <v>22.451575999999999</v>
      </c>
      <c r="C166" s="28">
        <f t="shared" si="4"/>
        <v>-6.4220890134615806E-3</v>
      </c>
      <c r="D166" s="31">
        <v>2000.02</v>
      </c>
      <c r="E166" s="28">
        <f t="shared" si="4"/>
        <v>1.050541125247729E-3</v>
      </c>
      <c r="J166" s="30">
        <v>42781</v>
      </c>
      <c r="K166" s="28">
        <v>31.902083999999999</v>
      </c>
      <c r="L166" s="28">
        <f t="shared" si="5"/>
        <v>1.6691493641291497E-2</v>
      </c>
      <c r="M166" s="32">
        <v>2365.38</v>
      </c>
      <c r="N166" s="28">
        <f t="shared" si="5"/>
        <v>1.1822479375587161E-2</v>
      </c>
    </row>
    <row r="167" spans="1:14">
      <c r="A167" s="30">
        <v>41878</v>
      </c>
      <c r="B167" s="28">
        <v>22.727513999999999</v>
      </c>
      <c r="C167" s="28">
        <f t="shared" si="4"/>
        <v>1.2215448837764962E-2</v>
      </c>
      <c r="D167" s="31">
        <v>2000.12</v>
      </c>
      <c r="E167" s="28">
        <f t="shared" si="4"/>
        <v>4.9998250071612606E-5</v>
      </c>
      <c r="J167" s="30">
        <v>42788</v>
      </c>
      <c r="K167" s="28">
        <v>31.969784000000001</v>
      </c>
      <c r="L167" s="28">
        <f t="shared" si="5"/>
        <v>2.1198699043152324E-3</v>
      </c>
      <c r="M167" s="32">
        <v>2363.64</v>
      </c>
      <c r="N167" s="28">
        <f t="shared" si="5"/>
        <v>-7.3588188610792442E-4</v>
      </c>
    </row>
    <row r="168" spans="1:14">
      <c r="A168" s="30">
        <v>41879</v>
      </c>
      <c r="B168" s="28">
        <v>22.754221000000001</v>
      </c>
      <c r="C168" s="28">
        <f t="shared" si="4"/>
        <v>1.1744056408397019E-3</v>
      </c>
      <c r="D168" s="31">
        <v>1996.74</v>
      </c>
      <c r="E168" s="28">
        <f t="shared" si="4"/>
        <v>-1.6913280954213741E-3</v>
      </c>
      <c r="J168" s="30">
        <v>42795</v>
      </c>
      <c r="K168" s="28">
        <v>32.560206999999998</v>
      </c>
      <c r="L168" s="28">
        <f t="shared" si="5"/>
        <v>1.8299691893125445E-2</v>
      </c>
      <c r="M168" s="32">
        <v>2368.39</v>
      </c>
      <c r="N168" s="28">
        <f t="shared" si="5"/>
        <v>2.0075957233502049E-3</v>
      </c>
    </row>
    <row r="169" spans="1:14">
      <c r="A169" s="30">
        <v>41880</v>
      </c>
      <c r="B169" s="28">
        <v>22.809856</v>
      </c>
      <c r="C169" s="28">
        <f t="shared" si="4"/>
        <v>2.4420566073982413E-3</v>
      </c>
      <c r="D169" s="31">
        <v>2003.37</v>
      </c>
      <c r="E169" s="28">
        <f t="shared" si="4"/>
        <v>3.3149118755349209E-3</v>
      </c>
      <c r="J169" s="30">
        <v>42802</v>
      </c>
      <c r="K169" s="28">
        <v>32.436523000000001</v>
      </c>
      <c r="L169" s="28">
        <f t="shared" si="5"/>
        <v>-3.8058575959818135E-3</v>
      </c>
      <c r="M169" s="32">
        <v>2365.4499999999998</v>
      </c>
      <c r="N169" s="28">
        <f t="shared" si="5"/>
        <v>-1.2421207214445664E-3</v>
      </c>
    </row>
    <row r="170" spans="1:14">
      <c r="A170" s="30">
        <v>41884</v>
      </c>
      <c r="B170" s="28">
        <v>22.987888000000002</v>
      </c>
      <c r="C170" s="28">
        <f t="shared" si="4"/>
        <v>7.7747452706756828E-3</v>
      </c>
      <c r="D170" s="31">
        <v>2002.28</v>
      </c>
      <c r="E170" s="28">
        <f t="shared" si="4"/>
        <v>-5.4423128675924639E-4</v>
      </c>
      <c r="J170" s="30">
        <v>42809</v>
      </c>
      <c r="K170" s="28">
        <v>32.634887999999997</v>
      </c>
      <c r="L170" s="28">
        <f t="shared" si="5"/>
        <v>6.0968591710165903E-3</v>
      </c>
      <c r="M170" s="32">
        <v>2344.02</v>
      </c>
      <c r="N170" s="28">
        <f t="shared" si="5"/>
        <v>-9.1008745837986883E-3</v>
      </c>
    </row>
    <row r="171" spans="1:14">
      <c r="A171" s="30">
        <v>41885</v>
      </c>
      <c r="B171" s="28">
        <v>22.017631999999999</v>
      </c>
      <c r="C171" s="28">
        <f t="shared" si="4"/>
        <v>-4.3123881615867769E-2</v>
      </c>
      <c r="D171" s="31">
        <v>2000.72</v>
      </c>
      <c r="E171" s="28">
        <f t="shared" si="4"/>
        <v>-7.7941547787828132E-4</v>
      </c>
      <c r="J171" s="30">
        <v>42816</v>
      </c>
      <c r="K171" s="28">
        <v>33.559047999999997</v>
      </c>
      <c r="L171" s="28">
        <f t="shared" si="5"/>
        <v>2.7924613909933643E-2</v>
      </c>
      <c r="M171" s="32">
        <v>2358.5700000000002</v>
      </c>
      <c r="N171" s="28">
        <f t="shared" si="5"/>
        <v>6.1880990814475066E-3</v>
      </c>
    </row>
    <row r="172" spans="1:14">
      <c r="A172" s="30">
        <v>41886</v>
      </c>
      <c r="B172" s="28">
        <v>21.835156999999999</v>
      </c>
      <c r="C172" s="28">
        <f t="shared" si="4"/>
        <v>-8.3222097080806658E-3</v>
      </c>
      <c r="D172" s="31">
        <v>1997.65</v>
      </c>
      <c r="E172" s="28">
        <f t="shared" si="4"/>
        <v>-1.5356260692695059E-3</v>
      </c>
      <c r="J172" s="30">
        <v>42823</v>
      </c>
      <c r="K172" s="28">
        <v>33.785426999999999</v>
      </c>
      <c r="L172" s="28">
        <f t="shared" si="5"/>
        <v>6.7230415763181416E-3</v>
      </c>
      <c r="M172" s="32">
        <v>2360.16</v>
      </c>
      <c r="N172" s="28">
        <f t="shared" si="5"/>
        <v>6.7391016658099098E-4</v>
      </c>
    </row>
    <row r="173" spans="1:14">
      <c r="A173" s="30">
        <v>41887</v>
      </c>
      <c r="B173" s="28">
        <v>22.024311000000001</v>
      </c>
      <c r="C173" s="28">
        <f t="shared" si="4"/>
        <v>8.6255114970685554E-3</v>
      </c>
      <c r="D173" s="31">
        <v>2007.71</v>
      </c>
      <c r="E173" s="28">
        <f t="shared" si="4"/>
        <v>5.0232793825961582E-3</v>
      </c>
      <c r="J173" s="30">
        <v>42830</v>
      </c>
      <c r="K173" s="28">
        <v>33.052635000000002</v>
      </c>
      <c r="L173" s="28">
        <f t="shared" si="5"/>
        <v>-2.1928264864337195E-2</v>
      </c>
      <c r="M173" s="32">
        <v>2353.7800000000002</v>
      </c>
      <c r="N173" s="28">
        <f t="shared" si="5"/>
        <v>-2.7068668229077966E-3</v>
      </c>
    </row>
    <row r="174" spans="1:14">
      <c r="A174" s="30">
        <v>41890</v>
      </c>
      <c r="B174" s="28">
        <v>21.888560999999999</v>
      </c>
      <c r="C174" s="28">
        <f t="shared" si="4"/>
        <v>-6.1827171054193884E-3</v>
      </c>
      <c r="D174" s="31">
        <v>2001.54</v>
      </c>
      <c r="E174" s="28">
        <f t="shared" si="4"/>
        <v>-3.0778848267845093E-3</v>
      </c>
      <c r="J174" s="30">
        <v>42837</v>
      </c>
      <c r="K174" s="28">
        <v>32.952271000000003</v>
      </c>
      <c r="L174" s="28">
        <f t="shared" si="5"/>
        <v>-3.0411096214601327E-3</v>
      </c>
      <c r="M174" s="32">
        <v>2342.19</v>
      </c>
      <c r="N174" s="28">
        <f t="shared" si="5"/>
        <v>-4.9361574001313743E-3</v>
      </c>
    </row>
    <row r="175" spans="1:14">
      <c r="A175" s="30">
        <v>41891</v>
      </c>
      <c r="B175" s="28">
        <v>21.806217</v>
      </c>
      <c r="C175" s="28">
        <f t="shared" si="4"/>
        <v>-3.7690589699397553E-3</v>
      </c>
      <c r="D175" s="31">
        <v>1988.44</v>
      </c>
      <c r="E175" s="28">
        <f t="shared" si="4"/>
        <v>-6.5664725492672778E-3</v>
      </c>
      <c r="J175" s="30">
        <v>42844</v>
      </c>
      <c r="K175" s="28">
        <v>33.729396999999999</v>
      </c>
      <c r="L175" s="28">
        <f t="shared" si="5"/>
        <v>2.3309590469682312E-2</v>
      </c>
      <c r="M175" s="32">
        <v>2388.61</v>
      </c>
      <c r="N175" s="28">
        <f t="shared" si="5"/>
        <v>1.9625217669655689E-2</v>
      </c>
    </row>
    <row r="176" spans="1:14">
      <c r="A176" s="30">
        <v>41892</v>
      </c>
      <c r="B176" s="28">
        <v>22.476050999999998</v>
      </c>
      <c r="C176" s="28">
        <f t="shared" si="4"/>
        <v>3.0255229710202346E-2</v>
      </c>
      <c r="D176" s="31">
        <v>1995.69</v>
      </c>
      <c r="E176" s="28">
        <f t="shared" si="4"/>
        <v>3.6394434933185002E-3</v>
      </c>
      <c r="J176" s="30">
        <v>42851</v>
      </c>
      <c r="K176" s="28">
        <v>34.424849999999999</v>
      </c>
      <c r="L176" s="28">
        <f t="shared" si="5"/>
        <v>2.0408915653590591E-2</v>
      </c>
      <c r="M176" s="32">
        <v>2391.17</v>
      </c>
      <c r="N176" s="28">
        <f t="shared" si="5"/>
        <v>1.0711791106636363E-3</v>
      </c>
    </row>
    <row r="177" spans="1:14">
      <c r="A177" s="30">
        <v>41893</v>
      </c>
      <c r="B177" s="28">
        <v>22.571746999999998</v>
      </c>
      <c r="C177" s="28">
        <f t="shared" si="4"/>
        <v>4.2486491326754854E-3</v>
      </c>
      <c r="D177" s="31">
        <v>1997.45</v>
      </c>
      <c r="E177" s="28">
        <f t="shared" si="4"/>
        <v>8.8151184980712178E-4</v>
      </c>
      <c r="J177" s="30">
        <v>42858</v>
      </c>
      <c r="K177" s="28">
        <v>35.937119000000003</v>
      </c>
      <c r="L177" s="28">
        <f t="shared" si="5"/>
        <v>4.2992029455489481E-2</v>
      </c>
      <c r="M177" s="32">
        <v>2396.92</v>
      </c>
      <c r="N177" s="28">
        <f t="shared" si="5"/>
        <v>2.4017939362573834E-3</v>
      </c>
    </row>
    <row r="178" spans="1:14">
      <c r="A178" s="30">
        <v>41894</v>
      </c>
      <c r="B178" s="28">
        <v>22.622928999999999</v>
      </c>
      <c r="C178" s="28">
        <f t="shared" si="4"/>
        <v>2.2649580176414127E-3</v>
      </c>
      <c r="D178" s="31">
        <v>1985.54</v>
      </c>
      <c r="E178" s="28">
        <f t="shared" si="4"/>
        <v>-5.9804496107261707E-3</v>
      </c>
      <c r="J178" s="30">
        <v>42865</v>
      </c>
      <c r="K178" s="28">
        <v>36.282505</v>
      </c>
      <c r="L178" s="28">
        <f t="shared" si="5"/>
        <v>9.5649524076143171E-3</v>
      </c>
      <c r="M178" s="32">
        <v>2400.67</v>
      </c>
      <c r="N178" s="28">
        <f t="shared" si="5"/>
        <v>1.5632852176641521E-3</v>
      </c>
    </row>
    <row r="179" spans="1:14">
      <c r="A179" s="30">
        <v>41897</v>
      </c>
      <c r="B179" s="28">
        <v>22.616247000000001</v>
      </c>
      <c r="C179" s="28">
        <f t="shared" si="4"/>
        <v>-2.9540768154533528E-4</v>
      </c>
      <c r="D179" s="31">
        <v>1984.13</v>
      </c>
      <c r="E179" s="28">
        <f t="shared" si="4"/>
        <v>-7.103865355538411E-4</v>
      </c>
      <c r="J179" s="30">
        <v>42872</v>
      </c>
      <c r="K179" s="28">
        <v>36.040928000000001</v>
      </c>
      <c r="L179" s="28">
        <f t="shared" si="5"/>
        <v>-6.6804875936296616E-3</v>
      </c>
      <c r="M179" s="32">
        <v>2398.42</v>
      </c>
      <c r="N179" s="28">
        <f t="shared" si="5"/>
        <v>-9.3767783678044543E-4</v>
      </c>
    </row>
    <row r="180" spans="1:14">
      <c r="A180" s="30">
        <v>41898</v>
      </c>
      <c r="B180" s="28">
        <v>22.444894999999999</v>
      </c>
      <c r="C180" s="28">
        <f t="shared" si="4"/>
        <v>-7.6053476822491644E-3</v>
      </c>
      <c r="D180" s="31">
        <v>1998.98</v>
      </c>
      <c r="E180" s="28">
        <f t="shared" si="4"/>
        <v>7.4565195560981042E-3</v>
      </c>
      <c r="J180" s="30">
        <v>42879</v>
      </c>
      <c r="K180" s="28">
        <v>36.010460000000002</v>
      </c>
      <c r="L180" s="28">
        <f t="shared" si="5"/>
        <v>-8.4572976764978373E-4</v>
      </c>
      <c r="M180" s="32">
        <v>2412.91</v>
      </c>
      <c r="N180" s="28">
        <f t="shared" si="5"/>
        <v>6.0233007539523976E-3</v>
      </c>
    </row>
    <row r="181" spans="1:14">
      <c r="A181" s="30">
        <v>41899</v>
      </c>
      <c r="B181" s="28">
        <v>22.605127</v>
      </c>
      <c r="C181" s="28">
        <f t="shared" si="4"/>
        <v>7.113544835916568E-3</v>
      </c>
      <c r="D181" s="31">
        <v>2001.57</v>
      </c>
      <c r="E181" s="28">
        <f t="shared" si="4"/>
        <v>1.2948221428846019E-3</v>
      </c>
      <c r="J181" s="30">
        <v>42886</v>
      </c>
      <c r="K181" s="28">
        <v>36.193252999999999</v>
      </c>
      <c r="L181" s="28">
        <f t="shared" si="5"/>
        <v>5.0632684365437023E-3</v>
      </c>
      <c r="M181" s="32">
        <v>2429.33</v>
      </c>
      <c r="N181" s="28">
        <f t="shared" si="5"/>
        <v>6.7820111920798625E-3</v>
      </c>
    </row>
    <row r="182" spans="1:14">
      <c r="A182" s="30">
        <v>41900</v>
      </c>
      <c r="B182" s="28">
        <v>22.651855000000001</v>
      </c>
      <c r="C182" s="28">
        <f t="shared" si="4"/>
        <v>2.0650080734513012E-3</v>
      </c>
      <c r="D182" s="31">
        <v>2011.36</v>
      </c>
      <c r="E182" s="28">
        <f t="shared" si="4"/>
        <v>4.8792375757879137E-3</v>
      </c>
      <c r="J182" s="30">
        <v>42893</v>
      </c>
      <c r="K182" s="28">
        <v>34.351348999999999</v>
      </c>
      <c r="L182" s="28">
        <f t="shared" si="5"/>
        <v>-5.2231430149930584E-2</v>
      </c>
      <c r="M182" s="32">
        <v>2440.35</v>
      </c>
      <c r="N182" s="28">
        <f t="shared" si="5"/>
        <v>4.5259724710968756E-3</v>
      </c>
    </row>
    <row r="183" spans="1:14">
      <c r="A183" s="30">
        <v>41901</v>
      </c>
      <c r="B183" s="28">
        <v>22.467154000000001</v>
      </c>
      <c r="C183" s="28">
        <f t="shared" si="4"/>
        <v>-8.1873266207383218E-3</v>
      </c>
      <c r="D183" s="31">
        <v>2010.4</v>
      </c>
      <c r="E183" s="28">
        <f t="shared" si="4"/>
        <v>-4.7740293713845845E-4</v>
      </c>
      <c r="J183" s="30">
        <v>42900</v>
      </c>
      <c r="K183" s="28">
        <v>33.981098000000003</v>
      </c>
      <c r="L183" s="28">
        <f t="shared" si="5"/>
        <v>-1.0836861248091724E-2</v>
      </c>
      <c r="M183" s="32">
        <v>2437.0300000000002</v>
      </c>
      <c r="N183" s="28">
        <f t="shared" si="5"/>
        <v>-1.3613868563723298E-3</v>
      </c>
    </row>
    <row r="184" spans="1:14">
      <c r="A184" s="30">
        <v>41904</v>
      </c>
      <c r="B184" s="28">
        <v>22.489402999999999</v>
      </c>
      <c r="C184" s="28">
        <f t="shared" si="4"/>
        <v>9.8980007817104851E-4</v>
      </c>
      <c r="D184" s="31">
        <v>1994.29</v>
      </c>
      <c r="E184" s="28">
        <f t="shared" si="4"/>
        <v>-8.0456099735066993E-3</v>
      </c>
      <c r="J184" s="30">
        <v>42907</v>
      </c>
      <c r="K184" s="28">
        <v>33.681159999999998</v>
      </c>
      <c r="L184" s="28">
        <f t="shared" si="5"/>
        <v>-8.8657982608498654E-3</v>
      </c>
      <c r="M184" s="32">
        <v>2419.38</v>
      </c>
      <c r="N184" s="28">
        <f t="shared" si="5"/>
        <v>-7.2687757876950931E-3</v>
      </c>
    </row>
    <row r="185" spans="1:14">
      <c r="A185" s="30">
        <v>41905</v>
      </c>
      <c r="B185" s="28">
        <v>22.841003000000001</v>
      </c>
      <c r="C185" s="28">
        <f t="shared" si="4"/>
        <v>1.5513077521522388E-2</v>
      </c>
      <c r="D185" s="31">
        <v>1982.77</v>
      </c>
      <c r="E185" s="28">
        <f t="shared" si="4"/>
        <v>-5.7932403429418761E-3</v>
      </c>
      <c r="J185" s="30">
        <v>42914</v>
      </c>
      <c r="K185" s="28">
        <v>33.627262000000002</v>
      </c>
      <c r="L185" s="28">
        <f t="shared" si="5"/>
        <v>-1.6015235513958494E-3</v>
      </c>
      <c r="M185" s="32">
        <v>2429.0100000000002</v>
      </c>
      <c r="N185" s="28">
        <f t="shared" si="5"/>
        <v>3.9724579350198944E-3</v>
      </c>
    </row>
    <row r="186" spans="1:14">
      <c r="A186" s="30">
        <v>41906</v>
      </c>
      <c r="B186" s="28">
        <v>22.642958</v>
      </c>
      <c r="C186" s="28">
        <f t="shared" si="4"/>
        <v>-8.7083994984721979E-3</v>
      </c>
      <c r="D186" s="31">
        <v>1998.3</v>
      </c>
      <c r="E186" s="28">
        <f t="shared" si="4"/>
        <v>7.8019621743095095E-3</v>
      </c>
      <c r="J186" s="30">
        <v>42921</v>
      </c>
      <c r="K186" s="28">
        <v>34.102961999999998</v>
      </c>
      <c r="L186" s="28">
        <f t="shared" si="5"/>
        <v>1.4047135652408824E-2</v>
      </c>
      <c r="M186" s="32">
        <v>2425.5300000000002</v>
      </c>
      <c r="N186" s="28">
        <f t="shared" si="5"/>
        <v>-1.4337097216633305E-3</v>
      </c>
    </row>
    <row r="187" spans="1:14">
      <c r="A187" s="30">
        <v>41907</v>
      </c>
      <c r="B187" s="28">
        <v>21.779513999999999</v>
      </c>
      <c r="C187" s="28">
        <f t="shared" si="4"/>
        <v>-3.8879095304511481E-2</v>
      </c>
      <c r="D187" s="31">
        <v>1965.99</v>
      </c>
      <c r="E187" s="28">
        <f t="shared" si="4"/>
        <v>-1.6300883863057503E-2</v>
      </c>
      <c r="J187" s="30">
        <v>42928</v>
      </c>
      <c r="K187" s="28">
        <v>35.169196999999997</v>
      </c>
      <c r="L187" s="28">
        <f t="shared" si="5"/>
        <v>3.0786371578922753E-2</v>
      </c>
      <c r="M187" s="32">
        <v>2460.61</v>
      </c>
      <c r="N187" s="28">
        <f t="shared" si="5"/>
        <v>1.4359229474651099E-2</v>
      </c>
    </row>
    <row r="188" spans="1:14">
      <c r="A188" s="30">
        <v>41908</v>
      </c>
      <c r="B188" s="28">
        <v>22.420421999999999</v>
      </c>
      <c r="C188" s="28">
        <f t="shared" si="4"/>
        <v>2.9002436740536396E-2</v>
      </c>
      <c r="D188" s="31">
        <v>1982.85</v>
      </c>
      <c r="E188" s="28">
        <f t="shared" si="4"/>
        <v>8.53926846933231E-3</v>
      </c>
      <c r="J188" s="30">
        <v>42935</v>
      </c>
      <c r="K188" s="28">
        <v>35.792526000000002</v>
      </c>
      <c r="L188" s="28">
        <f t="shared" si="5"/>
        <v>1.7568486395063813E-2</v>
      </c>
      <c r="M188" s="32">
        <v>2477.13</v>
      </c>
      <c r="N188" s="28">
        <f t="shared" si="5"/>
        <v>6.6913452871020527E-3</v>
      </c>
    </row>
    <row r="189" spans="1:14">
      <c r="A189" s="30">
        <v>41911</v>
      </c>
      <c r="B189" s="28">
        <v>22.277994</v>
      </c>
      <c r="C189" s="28">
        <f t="shared" si="4"/>
        <v>-6.3728648478367901E-3</v>
      </c>
      <c r="D189" s="31">
        <v>1977.8</v>
      </c>
      <c r="E189" s="28">
        <f t="shared" si="4"/>
        <v>-2.5500878576278762E-3</v>
      </c>
      <c r="J189" s="30">
        <v>42942</v>
      </c>
      <c r="K189" s="28">
        <v>35.162166999999997</v>
      </c>
      <c r="L189" s="28">
        <f t="shared" si="5"/>
        <v>-1.7768397206502539E-2</v>
      </c>
      <c r="M189" s="32">
        <v>2476.35</v>
      </c>
      <c r="N189" s="28">
        <f t="shared" si="5"/>
        <v>-3.1493011234402834E-4</v>
      </c>
    </row>
    <row r="190" spans="1:14">
      <c r="A190" s="30">
        <v>41912</v>
      </c>
      <c r="B190" s="28">
        <v>22.420421999999999</v>
      </c>
      <c r="C190" s="28">
        <f t="shared" si="4"/>
        <v>6.3728648478367546E-3</v>
      </c>
      <c r="D190" s="31">
        <v>1972.29</v>
      </c>
      <c r="E190" s="28">
        <f t="shared" si="4"/>
        <v>-2.7898116618691174E-3</v>
      </c>
      <c r="J190" s="30">
        <v>42949</v>
      </c>
      <c r="K190" s="28">
        <v>37.512566</v>
      </c>
      <c r="L190" s="28">
        <f t="shared" si="5"/>
        <v>6.4705266723723273E-2</v>
      </c>
      <c r="M190" s="32">
        <v>2474.92</v>
      </c>
      <c r="N190" s="28">
        <f t="shared" si="5"/>
        <v>-5.7762959392663083E-4</v>
      </c>
    </row>
    <row r="191" spans="1:14">
      <c r="A191" s="30">
        <v>41913</v>
      </c>
      <c r="B191" s="28">
        <v>22.071037</v>
      </c>
      <c r="C191" s="28">
        <f t="shared" si="4"/>
        <v>-1.5706033922013699E-2</v>
      </c>
      <c r="D191" s="31">
        <v>1946.16</v>
      </c>
      <c r="E191" s="28">
        <f t="shared" si="4"/>
        <v>-1.3337103869609681E-2</v>
      </c>
      <c r="J191" s="30">
        <v>42956</v>
      </c>
      <c r="K191" s="28">
        <v>37.868763000000001</v>
      </c>
      <c r="L191" s="28">
        <f t="shared" si="5"/>
        <v>9.4506068236088758E-3</v>
      </c>
      <c r="M191" s="32">
        <v>2464.61</v>
      </c>
      <c r="N191" s="28">
        <f t="shared" si="5"/>
        <v>-4.1744922987269686E-3</v>
      </c>
    </row>
    <row r="192" spans="1:14">
      <c r="A192" s="30">
        <v>41914</v>
      </c>
      <c r="B192" s="28">
        <v>22.231268</v>
      </c>
      <c r="C192" s="28">
        <f t="shared" si="4"/>
        <v>7.2335603605836237E-3</v>
      </c>
      <c r="D192" s="31">
        <v>1946.17</v>
      </c>
      <c r="E192" s="28">
        <f t="shared" si="4"/>
        <v>5.1383104720751194E-6</v>
      </c>
      <c r="J192" s="30">
        <v>42963</v>
      </c>
      <c r="K192" s="28">
        <v>37.589291000000003</v>
      </c>
      <c r="L192" s="28">
        <f t="shared" si="5"/>
        <v>-7.4073810031753491E-3</v>
      </c>
      <c r="M192" s="32">
        <v>2452.5100000000002</v>
      </c>
      <c r="N192" s="28">
        <f t="shared" si="5"/>
        <v>-4.9215900461607471E-3</v>
      </c>
    </row>
    <row r="193" spans="1:14">
      <c r="A193" s="30">
        <v>41915</v>
      </c>
      <c r="B193" s="28">
        <v>22.168956999999999</v>
      </c>
      <c r="C193" s="28">
        <f t="shared" si="4"/>
        <v>-2.8067894208875488E-3</v>
      </c>
      <c r="D193" s="31">
        <v>1967.9</v>
      </c>
      <c r="E193" s="28">
        <f t="shared" si="4"/>
        <v>1.1103645698160249E-2</v>
      </c>
      <c r="J193" s="30">
        <v>42970</v>
      </c>
      <c r="K193" s="28">
        <v>38.325637999999998</v>
      </c>
      <c r="L193" s="28">
        <f t="shared" si="5"/>
        <v>1.9399875717611412E-2</v>
      </c>
      <c r="M193" s="32">
        <v>2446.3000000000002</v>
      </c>
      <c r="N193" s="28">
        <f t="shared" si="5"/>
        <v>-2.5353109536344252E-3</v>
      </c>
    </row>
    <row r="194" spans="1:14">
      <c r="A194" s="30">
        <v>41918</v>
      </c>
      <c r="B194" s="28">
        <v>22.168956999999999</v>
      </c>
      <c r="C194" s="28">
        <f t="shared" si="4"/>
        <v>0</v>
      </c>
      <c r="D194" s="31">
        <v>1964.82</v>
      </c>
      <c r="E194" s="28">
        <f t="shared" si="4"/>
        <v>-1.5663462589335857E-3</v>
      </c>
      <c r="J194" s="30">
        <v>42977</v>
      </c>
      <c r="K194" s="28">
        <v>38.130383000000002</v>
      </c>
      <c r="L194" s="28">
        <f t="shared" si="5"/>
        <v>-5.1076533131687151E-3</v>
      </c>
      <c r="M194" s="32">
        <v>2457.85</v>
      </c>
      <c r="N194" s="28">
        <f t="shared" si="5"/>
        <v>4.7103050905678888E-3</v>
      </c>
    </row>
    <row r="195" spans="1:14">
      <c r="A195" s="30">
        <v>41919</v>
      </c>
      <c r="B195" s="28">
        <v>21.975344</v>
      </c>
      <c r="C195" s="28">
        <f t="shared" si="4"/>
        <v>-8.7718793633223217E-3</v>
      </c>
      <c r="D195" s="31">
        <v>1935.1</v>
      </c>
      <c r="E195" s="28">
        <f t="shared" si="4"/>
        <v>-1.5241633339008961E-2</v>
      </c>
      <c r="J195" s="30">
        <v>42984</v>
      </c>
      <c r="K195" s="28">
        <v>37.843372000000002</v>
      </c>
      <c r="L195" s="28">
        <f t="shared" si="5"/>
        <v>-7.5555661391681619E-3</v>
      </c>
      <c r="M195" s="32">
        <v>2496.48</v>
      </c>
      <c r="N195" s="28">
        <f t="shared" si="5"/>
        <v>1.5594755652765854E-2</v>
      </c>
    </row>
    <row r="196" spans="1:14">
      <c r="A196" s="30">
        <v>41920</v>
      </c>
      <c r="B196" s="28">
        <v>22.431543000000001</v>
      </c>
      <c r="C196" s="28">
        <f t="shared" si="4"/>
        <v>2.0547040361609127E-2</v>
      </c>
      <c r="D196" s="31">
        <v>1968.89</v>
      </c>
      <c r="E196" s="28">
        <f t="shared" si="4"/>
        <v>1.7310927441677434E-2</v>
      </c>
      <c r="J196" s="30">
        <v>42991</v>
      </c>
      <c r="K196" s="28">
        <v>37.342269999999999</v>
      </c>
      <c r="L196" s="28">
        <f t="shared" si="5"/>
        <v>-1.3329923282813802E-2</v>
      </c>
      <c r="M196" s="32">
        <v>2506.65</v>
      </c>
      <c r="N196" s="28">
        <f t="shared" si="5"/>
        <v>4.0654606246293646E-3</v>
      </c>
    </row>
    <row r="197" spans="1:14">
      <c r="A197" s="30">
        <v>41921</v>
      </c>
      <c r="B197" s="28">
        <v>22.480497</v>
      </c>
      <c r="C197" s="28">
        <f t="shared" ref="C197:E260" si="6">LN(B197/B196)</f>
        <v>2.1799953592546704E-3</v>
      </c>
      <c r="D197" s="31">
        <v>1928.21</v>
      </c>
      <c r="E197" s="28">
        <f t="shared" si="6"/>
        <v>-2.0877820755941481E-2</v>
      </c>
      <c r="J197" s="30">
        <v>42998</v>
      </c>
      <c r="K197" s="28">
        <v>36.027194999999999</v>
      </c>
      <c r="L197" s="28">
        <f t="shared" ref="L197:N260" si="7">LN(K197/K196)</f>
        <v>-3.5851859042141755E-2</v>
      </c>
      <c r="M197" s="32">
        <v>2496.84</v>
      </c>
      <c r="N197" s="28">
        <f t="shared" si="7"/>
        <v>-3.9212679830105731E-3</v>
      </c>
    </row>
    <row r="198" spans="1:14">
      <c r="A198" s="30">
        <v>41922</v>
      </c>
      <c r="B198" s="28">
        <v>22.415972</v>
      </c>
      <c r="C198" s="28">
        <f t="shared" si="6"/>
        <v>-2.8743928359344973E-3</v>
      </c>
      <c r="D198" s="31">
        <v>1906.13</v>
      </c>
      <c r="E198" s="28">
        <f t="shared" si="6"/>
        <v>-1.1517102846274005E-2</v>
      </c>
      <c r="J198" s="30">
        <v>43005</v>
      </c>
      <c r="K198" s="28">
        <v>36.342444999999998</v>
      </c>
      <c r="L198" s="28">
        <f t="shared" si="7"/>
        <v>8.7122719983266268E-3</v>
      </c>
      <c r="M198" s="32">
        <v>2534.58</v>
      </c>
      <c r="N198" s="28">
        <f t="shared" si="7"/>
        <v>1.500201049089425E-2</v>
      </c>
    </row>
    <row r="199" spans="1:14">
      <c r="A199" s="30">
        <v>41925</v>
      </c>
      <c r="B199" s="28">
        <v>22.211238999999999</v>
      </c>
      <c r="C199" s="28">
        <f t="shared" si="6"/>
        <v>-9.1753184535930399E-3</v>
      </c>
      <c r="D199" s="31">
        <v>1874.74</v>
      </c>
      <c r="E199" s="28">
        <f t="shared" si="6"/>
        <v>-1.6605025431830202E-2</v>
      </c>
      <c r="J199" s="30">
        <v>43012</v>
      </c>
      <c r="K199" s="28">
        <v>36.676495000000003</v>
      </c>
      <c r="L199" s="28">
        <f t="shared" si="7"/>
        <v>9.1497447235417504E-3</v>
      </c>
      <c r="M199" s="32">
        <v>2550.64</v>
      </c>
      <c r="N199" s="28">
        <f t="shared" si="7"/>
        <v>6.3163652289340106E-3</v>
      </c>
    </row>
    <row r="200" spans="1:14">
      <c r="A200" s="30">
        <v>41926</v>
      </c>
      <c r="B200" s="28">
        <v>21.975344</v>
      </c>
      <c r="C200" s="28">
        <f t="shared" si="6"/>
        <v>-1.0677324431336255E-2</v>
      </c>
      <c r="D200" s="31">
        <v>1877.7</v>
      </c>
      <c r="E200" s="28">
        <f t="shared" si="6"/>
        <v>1.5776404760320126E-3</v>
      </c>
      <c r="J200" s="30">
        <v>43019</v>
      </c>
      <c r="K200" s="28">
        <v>37.751609999999999</v>
      </c>
      <c r="L200" s="28">
        <f t="shared" si="7"/>
        <v>2.8892037131125651E-2</v>
      </c>
      <c r="M200" s="32">
        <v>2559.36</v>
      </c>
      <c r="N200" s="28">
        <f t="shared" si="7"/>
        <v>3.4129191640799878E-3</v>
      </c>
    </row>
    <row r="201" spans="1:14">
      <c r="A201" s="30">
        <v>41927</v>
      </c>
      <c r="B201" s="28">
        <v>21.706081000000001</v>
      </c>
      <c r="C201" s="28">
        <f t="shared" si="6"/>
        <v>-1.2328645897210035E-2</v>
      </c>
      <c r="D201" s="31">
        <v>1862.49</v>
      </c>
      <c r="E201" s="28">
        <f t="shared" si="6"/>
        <v>-8.1333214869814974E-3</v>
      </c>
      <c r="J201" s="30">
        <v>43026</v>
      </c>
      <c r="K201" s="28">
        <v>36.958804999999998</v>
      </c>
      <c r="L201" s="28">
        <f t="shared" si="7"/>
        <v>-2.122420979251052E-2</v>
      </c>
      <c r="M201" s="32">
        <v>2569.13</v>
      </c>
      <c r="N201" s="28">
        <f t="shared" si="7"/>
        <v>3.8100929587845389E-3</v>
      </c>
    </row>
    <row r="202" spans="1:14">
      <c r="A202" s="30">
        <v>41928</v>
      </c>
      <c r="B202" s="28">
        <v>21.421241999999999</v>
      </c>
      <c r="C202" s="28">
        <f t="shared" si="6"/>
        <v>-1.3209405172032087E-2</v>
      </c>
      <c r="D202" s="31">
        <v>1862.76</v>
      </c>
      <c r="E202" s="28">
        <f t="shared" si="6"/>
        <v>1.4495671456831241E-4</v>
      </c>
      <c r="J202" s="30">
        <v>43033</v>
      </c>
      <c r="K202" s="28">
        <v>39.767764999999997</v>
      </c>
      <c r="L202" s="28">
        <f t="shared" si="7"/>
        <v>7.3252745501421079E-2</v>
      </c>
      <c r="M202" s="32">
        <v>2575.2600000000002</v>
      </c>
      <c r="N202" s="28">
        <f t="shared" si="7"/>
        <v>2.3831796972240294E-3</v>
      </c>
    </row>
    <row r="203" spans="1:14">
      <c r="A203" s="30">
        <v>41929</v>
      </c>
      <c r="B203" s="28">
        <v>21.735001</v>
      </c>
      <c r="C203" s="28">
        <f t="shared" si="6"/>
        <v>1.4540863917576412E-2</v>
      </c>
      <c r="D203" s="31">
        <v>1886.76</v>
      </c>
      <c r="E203" s="28">
        <f t="shared" si="6"/>
        <v>1.2801813443832692E-2</v>
      </c>
      <c r="J203" s="30">
        <v>43040</v>
      </c>
      <c r="K203" s="28">
        <v>41.125202000000002</v>
      </c>
      <c r="L203" s="28">
        <f t="shared" si="7"/>
        <v>3.3564461426452682E-2</v>
      </c>
      <c r="M203" s="32">
        <v>2590.64</v>
      </c>
      <c r="N203" s="28">
        <f t="shared" si="7"/>
        <v>5.9544495410541343E-3</v>
      </c>
    </row>
    <row r="204" spans="1:14">
      <c r="A204" s="30">
        <v>41932</v>
      </c>
      <c r="B204" s="28">
        <v>22.200108</v>
      </c>
      <c r="C204" s="28">
        <f t="shared" si="6"/>
        <v>2.1173243281769217E-2</v>
      </c>
      <c r="D204" s="31">
        <v>1904.01</v>
      </c>
      <c r="E204" s="28">
        <f t="shared" si="6"/>
        <v>9.101116168173851E-3</v>
      </c>
      <c r="J204" s="30">
        <v>43047</v>
      </c>
      <c r="K204" s="28">
        <v>40.308861</v>
      </c>
      <c r="L204" s="28">
        <f t="shared" si="7"/>
        <v>-2.0049800213587547E-2</v>
      </c>
      <c r="M204" s="32">
        <v>2578.87</v>
      </c>
      <c r="N204" s="28">
        <f t="shared" si="7"/>
        <v>-4.5536309391475604E-3</v>
      </c>
    </row>
    <row r="205" spans="1:14">
      <c r="A205" s="30">
        <v>41933</v>
      </c>
      <c r="B205" s="28">
        <v>22.803179</v>
      </c>
      <c r="C205" s="28">
        <f t="shared" si="6"/>
        <v>2.6802802334256793E-2</v>
      </c>
      <c r="D205" s="31">
        <v>1941.28</v>
      </c>
      <c r="E205" s="28">
        <f t="shared" si="6"/>
        <v>1.9385360865204253E-2</v>
      </c>
      <c r="J205" s="30">
        <v>43054</v>
      </c>
      <c r="K205" s="28">
        <v>40.878746</v>
      </c>
      <c r="L205" s="28">
        <f t="shared" si="7"/>
        <v>1.4038949564197208E-2</v>
      </c>
      <c r="M205" s="32">
        <v>2599.0300000000002</v>
      </c>
      <c r="N205" s="28">
        <f t="shared" si="7"/>
        <v>7.7869799996733288E-3</v>
      </c>
    </row>
    <row r="206" spans="1:14">
      <c r="A206" s="30">
        <v>41934</v>
      </c>
      <c r="B206" s="28">
        <v>22.918897999999999</v>
      </c>
      <c r="C206" s="28">
        <f t="shared" si="6"/>
        <v>5.0618543458910131E-3</v>
      </c>
      <c r="D206" s="31">
        <v>1927.11</v>
      </c>
      <c r="E206" s="28">
        <f t="shared" si="6"/>
        <v>-7.3260779688414726E-3</v>
      </c>
      <c r="J206" s="30">
        <v>43061</v>
      </c>
      <c r="K206" s="28">
        <v>40.862217000000001</v>
      </c>
      <c r="L206" s="28">
        <f t="shared" si="7"/>
        <v>-4.0442391718054386E-4</v>
      </c>
      <c r="M206" s="32">
        <v>2627.04</v>
      </c>
      <c r="N206" s="28">
        <f t="shared" si="7"/>
        <v>1.0719438587730386E-2</v>
      </c>
    </row>
    <row r="207" spans="1:14">
      <c r="A207" s="30">
        <v>41935</v>
      </c>
      <c r="B207" s="28">
        <v>23.32836</v>
      </c>
      <c r="C207" s="28">
        <f t="shared" si="6"/>
        <v>1.7707977394526443E-2</v>
      </c>
      <c r="D207" s="31">
        <v>1950.82</v>
      </c>
      <c r="E207" s="28">
        <f t="shared" si="6"/>
        <v>1.2228325652846546E-2</v>
      </c>
      <c r="J207" s="30">
        <v>43068</v>
      </c>
      <c r="K207" s="28">
        <v>40.052399000000001</v>
      </c>
      <c r="L207" s="28">
        <f t="shared" si="7"/>
        <v>-2.001727451573402E-2</v>
      </c>
      <c r="M207" s="32">
        <v>2629.57</v>
      </c>
      <c r="N207" s="28">
        <f t="shared" si="7"/>
        <v>9.6259764196205593E-4</v>
      </c>
    </row>
    <row r="208" spans="1:14">
      <c r="A208" s="30">
        <v>41936</v>
      </c>
      <c r="B208" s="28">
        <v>23.415151999999999</v>
      </c>
      <c r="C208" s="28">
        <f t="shared" si="6"/>
        <v>3.7135463737314016E-3</v>
      </c>
      <c r="D208" s="31">
        <v>1964.58</v>
      </c>
      <c r="E208" s="28">
        <f t="shared" si="6"/>
        <v>7.0286850120311814E-3</v>
      </c>
      <c r="J208" s="30">
        <v>43075</v>
      </c>
      <c r="K208" s="28">
        <v>40.538753999999997</v>
      </c>
      <c r="L208" s="28">
        <f t="shared" si="7"/>
        <v>1.2069833629782764E-2</v>
      </c>
      <c r="M208" s="32">
        <v>2664.11</v>
      </c>
      <c r="N208" s="28">
        <f t="shared" si="7"/>
        <v>1.3049708393429329E-2</v>
      </c>
    </row>
    <row r="209" spans="1:14">
      <c r="A209" s="30">
        <v>41939</v>
      </c>
      <c r="B209" s="28">
        <v>23.390673</v>
      </c>
      <c r="C209" s="28">
        <f t="shared" si="6"/>
        <v>-1.045981017611536E-3</v>
      </c>
      <c r="D209" s="31">
        <v>1961.63</v>
      </c>
      <c r="E209" s="28">
        <f t="shared" si="6"/>
        <v>-1.502721736806668E-3</v>
      </c>
      <c r="J209" s="30">
        <v>43082</v>
      </c>
      <c r="K209" s="28">
        <v>41.209285999999999</v>
      </c>
      <c r="L209" s="28">
        <f t="shared" si="7"/>
        <v>1.6405213833803129E-2</v>
      </c>
      <c r="M209" s="32">
        <v>2681.47</v>
      </c>
      <c r="N209" s="28">
        <f t="shared" si="7"/>
        <v>6.4951084932467415E-3</v>
      </c>
    </row>
    <row r="210" spans="1:14">
      <c r="A210" s="30">
        <v>41940</v>
      </c>
      <c r="B210" s="28">
        <v>23.753405000000001</v>
      </c>
      <c r="C210" s="28">
        <f t="shared" si="6"/>
        <v>1.5388535463373687E-2</v>
      </c>
      <c r="D210" s="31">
        <v>1985.05</v>
      </c>
      <c r="E210" s="28">
        <f t="shared" si="6"/>
        <v>1.1868342458139376E-2</v>
      </c>
      <c r="J210" s="30">
        <v>43089</v>
      </c>
      <c r="K210" s="28">
        <v>40.271976000000002</v>
      </c>
      <c r="L210" s="28">
        <f t="shared" si="7"/>
        <v>-2.3007776863631143E-2</v>
      </c>
      <c r="M210" s="32">
        <v>2680.5</v>
      </c>
      <c r="N210" s="28">
        <f t="shared" si="7"/>
        <v>-3.6180732476353807E-4</v>
      </c>
    </row>
    <row r="211" spans="1:14">
      <c r="A211" s="30">
        <v>41941</v>
      </c>
      <c r="B211" s="28">
        <v>23.886927</v>
      </c>
      <c r="C211" s="28">
        <f t="shared" si="6"/>
        <v>5.6054332121248775E-3</v>
      </c>
      <c r="D211" s="31">
        <v>1982.3</v>
      </c>
      <c r="E211" s="28">
        <f t="shared" si="6"/>
        <v>-1.3863160247666469E-3</v>
      </c>
      <c r="J211" s="30">
        <v>43096</v>
      </c>
      <c r="K211" s="28">
        <v>40.670982000000002</v>
      </c>
      <c r="L211" s="28">
        <f t="shared" si="7"/>
        <v>9.8590227442470462E-3</v>
      </c>
      <c r="M211" s="32">
        <v>2695.81</v>
      </c>
      <c r="N211" s="28">
        <f t="shared" si="7"/>
        <v>5.6953715036932697E-3</v>
      </c>
    </row>
    <row r="212" spans="1:14">
      <c r="A212" s="30">
        <v>41942</v>
      </c>
      <c r="B212" s="28">
        <v>23.806809999999999</v>
      </c>
      <c r="C212" s="28">
        <f t="shared" si="6"/>
        <v>-3.3596476350030448E-3</v>
      </c>
      <c r="D212" s="31">
        <v>1994.65</v>
      </c>
      <c r="E212" s="28">
        <f t="shared" si="6"/>
        <v>6.2108096401566381E-3</v>
      </c>
      <c r="J212" s="30">
        <v>43103</v>
      </c>
      <c r="K212" s="28">
        <v>41.159709999999997</v>
      </c>
      <c r="L212" s="28">
        <f t="shared" si="7"/>
        <v>1.1945000076141828E-2</v>
      </c>
      <c r="M212" s="32">
        <v>2751.29</v>
      </c>
      <c r="N212" s="28">
        <f t="shared" si="7"/>
        <v>2.0371176809676695E-2</v>
      </c>
    </row>
    <row r="213" spans="1:14">
      <c r="A213" s="30">
        <v>41943</v>
      </c>
      <c r="B213" s="28">
        <v>24.033795999999999</v>
      </c>
      <c r="C213" s="28">
        <f t="shared" si="6"/>
        <v>9.4893322751617784E-3</v>
      </c>
      <c r="D213" s="31">
        <v>2018.05</v>
      </c>
      <c r="E213" s="28">
        <f t="shared" si="6"/>
        <v>1.1663102277224974E-2</v>
      </c>
      <c r="J213" s="30">
        <v>43110</v>
      </c>
      <c r="K213" s="28">
        <v>41.598866000000001</v>
      </c>
      <c r="L213" s="28">
        <f t="shared" si="7"/>
        <v>1.0613042014668075E-2</v>
      </c>
      <c r="M213" s="32">
        <v>2776.42</v>
      </c>
      <c r="N213" s="28">
        <f t="shared" si="7"/>
        <v>9.0924354314927246E-3</v>
      </c>
    </row>
    <row r="214" spans="1:14">
      <c r="A214" s="30">
        <v>41946</v>
      </c>
      <c r="B214" s="28">
        <v>24.345344999999998</v>
      </c>
      <c r="C214" s="28">
        <f t="shared" si="6"/>
        <v>1.2879654344274398E-2</v>
      </c>
      <c r="D214" s="31">
        <v>2017.81</v>
      </c>
      <c r="E214" s="28">
        <f t="shared" si="6"/>
        <v>-1.1893375899205164E-4</v>
      </c>
      <c r="J214" s="30">
        <v>43117</v>
      </c>
      <c r="K214" s="28">
        <v>41.799537999999998</v>
      </c>
      <c r="L214" s="28">
        <f t="shared" si="7"/>
        <v>4.812379557768004E-3</v>
      </c>
      <c r="M214" s="32">
        <v>2839.13</v>
      </c>
      <c r="N214" s="28">
        <f t="shared" si="7"/>
        <v>2.2335339183548946E-2</v>
      </c>
    </row>
    <row r="215" spans="1:14">
      <c r="A215" s="30">
        <v>41947</v>
      </c>
      <c r="B215" s="28">
        <v>24.16732</v>
      </c>
      <c r="C215" s="28">
        <f t="shared" si="6"/>
        <v>-7.3393535121381607E-3</v>
      </c>
      <c r="D215" s="31">
        <v>2012.1</v>
      </c>
      <c r="E215" s="28">
        <f t="shared" si="6"/>
        <v>-2.8338120807535872E-3</v>
      </c>
      <c r="J215" s="30">
        <v>43124</v>
      </c>
      <c r="K215" s="28">
        <v>39.421996999999998</v>
      </c>
      <c r="L215" s="28">
        <f t="shared" si="7"/>
        <v>-5.8561326832955889E-2</v>
      </c>
      <c r="M215" s="32">
        <v>2822.43</v>
      </c>
      <c r="N215" s="28">
        <f t="shared" si="7"/>
        <v>-5.899451188321532E-3</v>
      </c>
    </row>
    <row r="216" spans="1:14">
      <c r="A216" s="30">
        <v>41948</v>
      </c>
      <c r="B216" s="28">
        <v>24.225178</v>
      </c>
      <c r="C216" s="28">
        <f t="shared" si="6"/>
        <v>2.3911982211998282E-3</v>
      </c>
      <c r="D216" s="31">
        <v>2023.57</v>
      </c>
      <c r="E216" s="28">
        <f t="shared" si="6"/>
        <v>5.6843254698454955E-3</v>
      </c>
      <c r="J216" s="30">
        <v>43131</v>
      </c>
      <c r="K216" s="28">
        <v>38.491753000000003</v>
      </c>
      <c r="L216" s="28">
        <f t="shared" si="7"/>
        <v>-2.3879949449330157E-2</v>
      </c>
      <c r="M216" s="32">
        <v>2695.14</v>
      </c>
      <c r="N216" s="28">
        <f t="shared" si="7"/>
        <v>-4.6148064961890452E-2</v>
      </c>
    </row>
    <row r="217" spans="1:14">
      <c r="A217" s="30">
        <v>41949</v>
      </c>
      <c r="B217" s="28">
        <v>24.294457999999999</v>
      </c>
      <c r="C217" s="28">
        <f t="shared" si="6"/>
        <v>2.8557529608591002E-3</v>
      </c>
      <c r="D217" s="31">
        <v>2031.21</v>
      </c>
      <c r="E217" s="28">
        <f t="shared" si="6"/>
        <v>3.7683963328125326E-3</v>
      </c>
      <c r="J217" s="30">
        <v>43138</v>
      </c>
      <c r="K217" s="28">
        <v>38.801048000000002</v>
      </c>
      <c r="L217" s="28">
        <f t="shared" si="7"/>
        <v>8.0032460179693572E-3</v>
      </c>
      <c r="M217" s="32">
        <v>2662.94</v>
      </c>
      <c r="N217" s="28">
        <f t="shared" si="7"/>
        <v>-1.2019375465783933E-2</v>
      </c>
    </row>
    <row r="218" spans="1:14">
      <c r="A218" s="30">
        <v>41950</v>
      </c>
      <c r="B218" s="28">
        <v>24.363742999999999</v>
      </c>
      <c r="C218" s="28">
        <f t="shared" si="6"/>
        <v>2.8478260766674076E-3</v>
      </c>
      <c r="D218" s="31">
        <v>2031.92</v>
      </c>
      <c r="E218" s="28">
        <f t="shared" si="6"/>
        <v>3.4948426815119868E-4</v>
      </c>
      <c r="J218" s="30">
        <v>43145</v>
      </c>
      <c r="K218" s="28">
        <v>40.739601</v>
      </c>
      <c r="L218" s="28">
        <f t="shared" si="7"/>
        <v>4.8753360362532729E-2</v>
      </c>
      <c r="M218" s="32">
        <v>2716.26</v>
      </c>
      <c r="N218" s="28">
        <f t="shared" si="7"/>
        <v>1.9825158530103772E-2</v>
      </c>
    </row>
    <row r="219" spans="1:14">
      <c r="A219" s="30">
        <v>41953</v>
      </c>
      <c r="B219" s="28">
        <v>24.323516999999999</v>
      </c>
      <c r="C219" s="28">
        <f t="shared" si="6"/>
        <v>-1.6524244392932472E-3</v>
      </c>
      <c r="D219" s="31">
        <v>2038.26</v>
      </c>
      <c r="E219" s="28">
        <f t="shared" si="6"/>
        <v>3.1153438558825866E-3</v>
      </c>
      <c r="J219" s="30">
        <v>43152</v>
      </c>
      <c r="K219" s="28">
        <v>42.290008999999998</v>
      </c>
      <c r="L219" s="28">
        <f t="shared" si="7"/>
        <v>3.735024736437597E-2</v>
      </c>
      <c r="M219" s="32">
        <v>2744.28</v>
      </c>
      <c r="N219" s="28">
        <f t="shared" si="7"/>
        <v>1.0262811346180352E-2</v>
      </c>
    </row>
    <row r="220" spans="1:14">
      <c r="A220" s="30">
        <v>41954</v>
      </c>
      <c r="B220" s="28">
        <v>24.517963000000002</v>
      </c>
      <c r="C220" s="28">
        <f t="shared" si="6"/>
        <v>7.9623724470192399E-3</v>
      </c>
      <c r="D220" s="31">
        <v>2039.68</v>
      </c>
      <c r="E220" s="28">
        <f t="shared" si="6"/>
        <v>6.9643008842389554E-4</v>
      </c>
      <c r="J220" s="30">
        <v>43159</v>
      </c>
      <c r="K220" s="28">
        <v>41.882252000000001</v>
      </c>
      <c r="L220" s="28">
        <f t="shared" si="7"/>
        <v>-9.688707060147253E-3</v>
      </c>
      <c r="M220" s="32">
        <v>2728.12</v>
      </c>
      <c r="N220" s="28">
        <f t="shared" si="7"/>
        <v>-5.9060181906006107E-3</v>
      </c>
    </row>
    <row r="221" spans="1:14">
      <c r="A221" s="30">
        <v>41955</v>
      </c>
      <c r="B221" s="28">
        <v>24.864384000000001</v>
      </c>
      <c r="C221" s="28">
        <f t="shared" si="6"/>
        <v>1.4030385505118167E-2</v>
      </c>
      <c r="D221" s="31">
        <v>2038.25</v>
      </c>
      <c r="E221" s="28">
        <f t="shared" si="6"/>
        <v>-7.0133624589671954E-4</v>
      </c>
      <c r="J221" s="30">
        <v>43166</v>
      </c>
      <c r="K221" s="28">
        <v>42.664569999999998</v>
      </c>
      <c r="L221" s="28">
        <f t="shared" si="7"/>
        <v>1.8506676178571529E-2</v>
      </c>
      <c r="M221" s="32">
        <v>2765.31</v>
      </c>
      <c r="N221" s="28">
        <f t="shared" si="7"/>
        <v>1.3540017138613176E-2</v>
      </c>
    </row>
    <row r="222" spans="1:14">
      <c r="A222" s="30">
        <v>41956</v>
      </c>
      <c r="B222" s="28">
        <v>25.215285999999999</v>
      </c>
      <c r="C222" s="28">
        <f t="shared" si="6"/>
        <v>1.4013979837828009E-2</v>
      </c>
      <c r="D222" s="31">
        <v>2039.33</v>
      </c>
      <c r="E222" s="28">
        <f t="shared" si="6"/>
        <v>5.2972597729773947E-4</v>
      </c>
      <c r="J222" s="30">
        <v>43173</v>
      </c>
      <c r="K222" s="28">
        <v>41.543247000000001</v>
      </c>
      <c r="L222" s="28">
        <f t="shared" si="7"/>
        <v>-2.6633852402378869E-2</v>
      </c>
      <c r="M222" s="32">
        <v>2716.94</v>
      </c>
      <c r="N222" s="28">
        <f t="shared" si="7"/>
        <v>-1.7646497401772231E-2</v>
      </c>
    </row>
    <row r="223" spans="1:14">
      <c r="A223" s="30">
        <v>41957</v>
      </c>
      <c r="B223" s="28">
        <v>25.519247</v>
      </c>
      <c r="C223" s="28">
        <f t="shared" si="6"/>
        <v>1.1982553852426629E-2</v>
      </c>
      <c r="D223" s="31">
        <v>2039.82</v>
      </c>
      <c r="E223" s="28">
        <f t="shared" si="6"/>
        <v>2.4024613086403535E-4</v>
      </c>
      <c r="J223" s="30">
        <v>43180</v>
      </c>
      <c r="K223" s="28">
        <v>39.907501000000003</v>
      </c>
      <c r="L223" s="28">
        <f t="shared" si="7"/>
        <v>-4.0170679802245285E-2</v>
      </c>
      <c r="M223" s="32">
        <v>2612.62</v>
      </c>
      <c r="N223" s="28">
        <f t="shared" si="7"/>
        <v>-3.9152697770000994E-2</v>
      </c>
    </row>
    <row r="224" spans="1:14">
      <c r="A224" s="30">
        <v>41960</v>
      </c>
      <c r="B224" s="28">
        <v>25.476777999999999</v>
      </c>
      <c r="C224" s="28">
        <f t="shared" si="6"/>
        <v>-1.6655811827681534E-3</v>
      </c>
      <c r="D224" s="31">
        <v>2041.32</v>
      </c>
      <c r="E224" s="28">
        <f t="shared" si="6"/>
        <v>7.3508875830995222E-4</v>
      </c>
      <c r="J224" s="30">
        <v>43187</v>
      </c>
      <c r="K224" s="28">
        <v>39.919361000000002</v>
      </c>
      <c r="L224" s="28">
        <f t="shared" si="7"/>
        <v>2.9714308667841833E-4</v>
      </c>
      <c r="M224" s="32">
        <v>2614.4499999999998</v>
      </c>
      <c r="N224" s="28">
        <f t="shared" si="7"/>
        <v>7.002010972754787E-4</v>
      </c>
    </row>
    <row r="225" spans="1:14">
      <c r="A225" s="30">
        <v>41961</v>
      </c>
      <c r="B225" s="28">
        <v>25.807562000000001</v>
      </c>
      <c r="C225" s="28">
        <f t="shared" si="6"/>
        <v>1.2900179168214773E-2</v>
      </c>
      <c r="D225" s="31">
        <v>2051.8000000000002</v>
      </c>
      <c r="E225" s="28">
        <f t="shared" si="6"/>
        <v>5.1207992441207693E-3</v>
      </c>
      <c r="J225" s="30">
        <v>43194</v>
      </c>
      <c r="K225" s="28">
        <v>41.071491000000002</v>
      </c>
      <c r="L225" s="28">
        <f t="shared" si="7"/>
        <v>2.8452786879814961E-2</v>
      </c>
      <c r="M225" s="32">
        <v>2656.87</v>
      </c>
      <c r="N225" s="28">
        <f t="shared" si="7"/>
        <v>1.6094987871337573E-2</v>
      </c>
    </row>
    <row r="226" spans="1:14">
      <c r="A226" s="30">
        <v>41962</v>
      </c>
      <c r="B226" s="28">
        <v>25.628758999999999</v>
      </c>
      <c r="C226" s="28">
        <f t="shared" si="6"/>
        <v>-6.9524303739451837E-3</v>
      </c>
      <c r="D226" s="31">
        <v>2048.7199999999998</v>
      </c>
      <c r="E226" s="28">
        <f t="shared" si="6"/>
        <v>-1.5022487778296994E-3</v>
      </c>
      <c r="J226" s="30">
        <v>43201</v>
      </c>
      <c r="K226" s="28">
        <v>42.254452000000001</v>
      </c>
      <c r="L226" s="28">
        <f t="shared" si="7"/>
        <v>2.8395489851989694E-2</v>
      </c>
      <c r="M226" s="32">
        <v>2706.39</v>
      </c>
      <c r="N226" s="28">
        <f t="shared" si="7"/>
        <v>1.8466905313212562E-2</v>
      </c>
    </row>
    <row r="227" spans="1:14">
      <c r="A227" s="30">
        <v>41963</v>
      </c>
      <c r="B227" s="28">
        <v>25.995296</v>
      </c>
      <c r="C227" s="28">
        <f t="shared" si="6"/>
        <v>1.4200479192825268E-2</v>
      </c>
      <c r="D227" s="31">
        <v>2052.75</v>
      </c>
      <c r="E227" s="28">
        <f t="shared" si="6"/>
        <v>1.9651497131154641E-3</v>
      </c>
      <c r="J227" s="30">
        <v>43208</v>
      </c>
      <c r="K227" s="28">
        <v>38.627357000000003</v>
      </c>
      <c r="L227" s="28">
        <f t="shared" si="7"/>
        <v>-8.9748965023101451E-2</v>
      </c>
      <c r="M227" s="32">
        <v>2634.56</v>
      </c>
      <c r="N227" s="28">
        <f t="shared" si="7"/>
        <v>-2.6899458404296306E-2</v>
      </c>
    </row>
    <row r="228" spans="1:14">
      <c r="A228" s="30">
        <v>41964</v>
      </c>
      <c r="B228" s="28">
        <v>26.031061000000001</v>
      </c>
      <c r="C228" s="28">
        <f t="shared" si="6"/>
        <v>1.3748802605521777E-3</v>
      </c>
      <c r="D228" s="31">
        <v>2063.5</v>
      </c>
      <c r="E228" s="28">
        <f t="shared" si="6"/>
        <v>5.2232126037382535E-3</v>
      </c>
      <c r="J228" s="30">
        <v>43215</v>
      </c>
      <c r="K228" s="28">
        <v>40.087676999999999</v>
      </c>
      <c r="L228" s="28">
        <f t="shared" si="7"/>
        <v>3.710822434114143E-2</v>
      </c>
      <c r="M228" s="32">
        <v>2654.8</v>
      </c>
      <c r="N228" s="28">
        <f t="shared" si="7"/>
        <v>7.6531371617087748E-3</v>
      </c>
    </row>
    <row r="229" spans="1:14">
      <c r="A229" s="30">
        <v>41967</v>
      </c>
      <c r="B229" s="28">
        <v>26.513826000000002</v>
      </c>
      <c r="C229" s="28">
        <f t="shared" si="6"/>
        <v>1.8375853947849921E-2</v>
      </c>
      <c r="D229" s="31">
        <v>2069.41</v>
      </c>
      <c r="E229" s="28">
        <f t="shared" si="6"/>
        <v>2.8599722850845412E-3</v>
      </c>
      <c r="J229" s="30">
        <v>43222</v>
      </c>
      <c r="K229" s="28">
        <v>44.105922999999997</v>
      </c>
      <c r="L229" s="28">
        <f t="shared" si="7"/>
        <v>9.5525101473292365E-2</v>
      </c>
      <c r="M229" s="32">
        <v>2671.92</v>
      </c>
      <c r="N229" s="28">
        <f t="shared" si="7"/>
        <v>6.4279928167915619E-3</v>
      </c>
    </row>
    <row r="230" spans="1:14">
      <c r="A230" s="30">
        <v>41968</v>
      </c>
      <c r="B230" s="28">
        <v>26.283619000000002</v>
      </c>
      <c r="C230" s="28">
        <f t="shared" si="6"/>
        <v>-8.7204393644231028E-3</v>
      </c>
      <c r="D230" s="31">
        <v>2067.0300000000002</v>
      </c>
      <c r="E230" s="28">
        <f t="shared" si="6"/>
        <v>-1.1507481131779239E-3</v>
      </c>
      <c r="J230" s="30">
        <v>43229</v>
      </c>
      <c r="K230" s="28">
        <v>44.198386999999997</v>
      </c>
      <c r="L230" s="28">
        <f t="shared" si="7"/>
        <v>2.0942133808306515E-3</v>
      </c>
      <c r="M230" s="32">
        <v>2711.45</v>
      </c>
      <c r="N230" s="28">
        <f t="shared" si="7"/>
        <v>1.4686232044663135E-2</v>
      </c>
    </row>
    <row r="231" spans="1:14">
      <c r="A231" s="30">
        <v>41969</v>
      </c>
      <c r="B231" s="28">
        <v>26.596519000000001</v>
      </c>
      <c r="C231" s="28">
        <f t="shared" si="6"/>
        <v>1.1834449142488429E-2</v>
      </c>
      <c r="D231" s="31">
        <v>2072.83</v>
      </c>
      <c r="E231" s="28">
        <f t="shared" si="6"/>
        <v>2.8020289550014527E-3</v>
      </c>
      <c r="J231" s="30">
        <v>43236</v>
      </c>
      <c r="K231" s="28">
        <v>44.540160999999998</v>
      </c>
      <c r="L231" s="28">
        <f t="shared" si="7"/>
        <v>7.702981345933251E-3</v>
      </c>
      <c r="M231" s="32">
        <v>2724.44</v>
      </c>
      <c r="N231" s="28">
        <f t="shared" si="7"/>
        <v>4.779355258002568E-3</v>
      </c>
    </row>
    <row r="232" spans="1:14">
      <c r="A232" s="30">
        <v>41971</v>
      </c>
      <c r="B232" s="28">
        <v>26.580862</v>
      </c>
      <c r="C232" s="28">
        <f t="shared" si="6"/>
        <v>-5.888594044309764E-4</v>
      </c>
      <c r="D232" s="31">
        <v>2067.56</v>
      </c>
      <c r="E232" s="28">
        <f t="shared" si="6"/>
        <v>-2.5456552865591015E-3</v>
      </c>
      <c r="J232" s="30">
        <v>43243</v>
      </c>
      <c r="K232" s="28">
        <v>44.716262999999998</v>
      </c>
      <c r="L232" s="28">
        <f t="shared" si="7"/>
        <v>3.9459844034065369E-3</v>
      </c>
      <c r="M232" s="32">
        <v>2689.86</v>
      </c>
      <c r="N232" s="28">
        <f t="shared" si="7"/>
        <v>-1.2773754759375649E-2</v>
      </c>
    </row>
    <row r="233" spans="1:14">
      <c r="A233" s="30">
        <v>41974</v>
      </c>
      <c r="B233" s="28">
        <v>25.718163000000001</v>
      </c>
      <c r="C233" s="28">
        <f t="shared" si="6"/>
        <v>-3.2994009356475125E-2</v>
      </c>
      <c r="D233" s="31">
        <v>2053.44</v>
      </c>
      <c r="E233" s="28">
        <f t="shared" si="6"/>
        <v>-6.8527324708350058E-3</v>
      </c>
      <c r="J233" s="30">
        <v>43250</v>
      </c>
      <c r="K233" s="28">
        <v>46.003731000000002</v>
      </c>
      <c r="L233" s="28">
        <f t="shared" si="7"/>
        <v>2.8385240941185722E-2</v>
      </c>
      <c r="M233" s="32">
        <v>2748.8</v>
      </c>
      <c r="N233" s="28">
        <f t="shared" si="7"/>
        <v>2.1675305158084607E-2</v>
      </c>
    </row>
    <row r="234" spans="1:14">
      <c r="A234" s="30">
        <v>41975</v>
      </c>
      <c r="B234" s="28">
        <v>25.619817999999999</v>
      </c>
      <c r="C234" s="28">
        <f t="shared" si="6"/>
        <v>-3.8312811833469402E-3</v>
      </c>
      <c r="D234" s="31">
        <v>2066.5500000000002</v>
      </c>
      <c r="E234" s="28">
        <f t="shared" si="6"/>
        <v>6.3641145965672059E-3</v>
      </c>
      <c r="J234" s="30">
        <v>43257</v>
      </c>
      <c r="K234" s="28">
        <v>45.758614000000001</v>
      </c>
      <c r="L234" s="28">
        <f t="shared" si="7"/>
        <v>-5.3424437443154648E-3</v>
      </c>
      <c r="M234" s="32">
        <v>2786.85</v>
      </c>
      <c r="N234" s="28">
        <f t="shared" si="7"/>
        <v>1.3747472930352946E-2</v>
      </c>
    </row>
    <row r="235" spans="1:14">
      <c r="A235" s="30">
        <v>41976</v>
      </c>
      <c r="B235" s="28">
        <v>25.910366</v>
      </c>
      <c r="C235" s="28">
        <f t="shared" si="6"/>
        <v>1.1276927676177623E-2</v>
      </c>
      <c r="D235" s="31">
        <v>2074.33</v>
      </c>
      <c r="E235" s="28">
        <f t="shared" si="6"/>
        <v>3.7576597991097705E-3</v>
      </c>
      <c r="J235" s="30">
        <v>43264</v>
      </c>
      <c r="K235" s="28">
        <v>44.190319000000002</v>
      </c>
      <c r="L235" s="28">
        <f t="shared" si="7"/>
        <v>-3.4874320206917171E-2</v>
      </c>
      <c r="M235" s="32">
        <v>2762.59</v>
      </c>
      <c r="N235" s="28">
        <f t="shared" si="7"/>
        <v>-8.7432802394507899E-3</v>
      </c>
    </row>
    <row r="236" spans="1:14">
      <c r="A236" s="30">
        <v>41977</v>
      </c>
      <c r="B236" s="28">
        <v>25.812031000000001</v>
      </c>
      <c r="C236" s="28">
        <f t="shared" si="6"/>
        <v>-3.8024192297378481E-3</v>
      </c>
      <c r="D236" s="31">
        <v>2071.92</v>
      </c>
      <c r="E236" s="28">
        <f t="shared" si="6"/>
        <v>-1.1624963624507377E-3</v>
      </c>
      <c r="J236" s="30">
        <v>43271</v>
      </c>
      <c r="K236" s="28">
        <v>43.890472000000003</v>
      </c>
      <c r="L236" s="28">
        <f t="shared" si="7"/>
        <v>-6.8084801439423541E-3</v>
      </c>
      <c r="M236" s="32">
        <v>2723.06</v>
      </c>
      <c r="N236" s="28">
        <f t="shared" si="7"/>
        <v>-1.441239752908623E-2</v>
      </c>
    </row>
    <row r="237" spans="1:14">
      <c r="A237" s="30">
        <v>41978</v>
      </c>
      <c r="B237" s="28">
        <v>25.702514999999998</v>
      </c>
      <c r="C237" s="28">
        <f t="shared" si="6"/>
        <v>-4.2518540292757652E-3</v>
      </c>
      <c r="D237" s="31">
        <v>2075.37</v>
      </c>
      <c r="E237" s="28">
        <f t="shared" si="6"/>
        <v>1.6637374265151782E-3</v>
      </c>
      <c r="J237" s="30">
        <v>43278</v>
      </c>
      <c r="K237" s="28">
        <v>43.769095999999998</v>
      </c>
      <c r="L237" s="28">
        <f t="shared" si="7"/>
        <v>-2.769260226502038E-3</v>
      </c>
      <c r="M237" s="32">
        <v>2713.22</v>
      </c>
      <c r="N237" s="28">
        <f t="shared" si="7"/>
        <v>-3.6201265373957672E-3</v>
      </c>
    </row>
    <row r="238" spans="1:14">
      <c r="A238" s="30">
        <v>41981</v>
      </c>
      <c r="B238" s="28">
        <v>25.121414000000001</v>
      </c>
      <c r="C238" s="28">
        <f t="shared" si="6"/>
        <v>-2.2868217210679921E-2</v>
      </c>
      <c r="D238" s="31">
        <v>2060.31</v>
      </c>
      <c r="E238" s="28">
        <f t="shared" si="6"/>
        <v>-7.2829941231697731E-3</v>
      </c>
      <c r="J238" s="30">
        <v>43285</v>
      </c>
      <c r="K238" s="28">
        <v>45.299309000000001</v>
      </c>
      <c r="L238" s="28">
        <f t="shared" si="7"/>
        <v>3.4363780935574621E-2</v>
      </c>
      <c r="M238" s="32">
        <v>2793.84</v>
      </c>
      <c r="N238" s="28">
        <f t="shared" si="7"/>
        <v>2.928087219373874E-2</v>
      </c>
    </row>
    <row r="239" spans="1:14">
      <c r="A239" s="30">
        <v>41982</v>
      </c>
      <c r="B239" s="28">
        <v>25.505832999999999</v>
      </c>
      <c r="C239" s="28">
        <f t="shared" si="6"/>
        <v>1.5186541279545412E-2</v>
      </c>
      <c r="D239" s="31">
        <v>2059.8200000000002</v>
      </c>
      <c r="E239" s="28">
        <f t="shared" si="6"/>
        <v>-2.3785657360814608E-4</v>
      </c>
      <c r="J239" s="30">
        <v>43292</v>
      </c>
      <c r="K239" s="28">
        <v>45.561092000000002</v>
      </c>
      <c r="L239" s="28">
        <f t="shared" si="7"/>
        <v>5.7623281755593289E-3</v>
      </c>
      <c r="M239" s="32">
        <v>2809.55</v>
      </c>
      <c r="N239" s="28">
        <f t="shared" si="7"/>
        <v>5.6073345467867594E-3</v>
      </c>
    </row>
    <row r="240" spans="1:14">
      <c r="A240" s="30">
        <v>41983</v>
      </c>
      <c r="B240" s="28">
        <v>25.020844</v>
      </c>
      <c r="C240" s="28">
        <f t="shared" si="6"/>
        <v>-1.9197933620839804E-2</v>
      </c>
      <c r="D240" s="31">
        <v>2026.14</v>
      </c>
      <c r="E240" s="28">
        <f t="shared" si="6"/>
        <v>-1.6486095225712944E-2</v>
      </c>
      <c r="J240" s="30">
        <v>43299</v>
      </c>
      <c r="K240" s="28">
        <v>45.929951000000003</v>
      </c>
      <c r="L240" s="28">
        <f t="shared" si="7"/>
        <v>8.063324811216686E-3</v>
      </c>
      <c r="M240" s="32">
        <v>2820.4</v>
      </c>
      <c r="N240" s="28">
        <f t="shared" si="7"/>
        <v>3.8543906900035049E-3</v>
      </c>
    </row>
    <row r="241" spans="1:14">
      <c r="A241" s="30">
        <v>41984</v>
      </c>
      <c r="B241" s="28">
        <v>24.947088000000001</v>
      </c>
      <c r="C241" s="28">
        <f t="shared" si="6"/>
        <v>-2.9521355242769754E-3</v>
      </c>
      <c r="D241" s="31">
        <v>2035.33</v>
      </c>
      <c r="E241" s="28">
        <f t="shared" si="6"/>
        <v>4.5254627925939775E-3</v>
      </c>
      <c r="J241" s="30">
        <v>43306</v>
      </c>
      <c r="K241" s="28">
        <v>45.285029999999999</v>
      </c>
      <c r="L241" s="28">
        <f t="shared" si="7"/>
        <v>-1.414091719857908E-2</v>
      </c>
      <c r="M241" s="32">
        <v>2816.29</v>
      </c>
      <c r="N241" s="28">
        <f t="shared" si="7"/>
        <v>-1.4583029147874848E-3</v>
      </c>
    </row>
    <row r="242" spans="1:14">
      <c r="A242" s="30">
        <v>41985</v>
      </c>
      <c r="B242" s="28">
        <v>24.524671999999999</v>
      </c>
      <c r="C242" s="28">
        <f t="shared" si="6"/>
        <v>-1.7077470705192471E-2</v>
      </c>
      <c r="D242" s="31">
        <v>2002.33</v>
      </c>
      <c r="E242" s="28">
        <f t="shared" si="6"/>
        <v>-1.6346465435817352E-2</v>
      </c>
      <c r="J242" s="30">
        <v>43313</v>
      </c>
      <c r="K242" s="28">
        <v>49.287841999999998</v>
      </c>
      <c r="L242" s="28">
        <f t="shared" si="7"/>
        <v>8.470092376098845E-2</v>
      </c>
      <c r="M242" s="32">
        <v>2858.45</v>
      </c>
      <c r="N242" s="28">
        <f t="shared" si="7"/>
        <v>1.4859103929499958E-2</v>
      </c>
    </row>
    <row r="243" spans="1:14">
      <c r="A243" s="30">
        <v>41988</v>
      </c>
      <c r="B243" s="28">
        <v>24.189425</v>
      </c>
      <c r="C243" s="28">
        <f t="shared" si="6"/>
        <v>-1.3764077067474002E-2</v>
      </c>
      <c r="D243" s="31">
        <v>1989.63</v>
      </c>
      <c r="E243" s="28">
        <f t="shared" si="6"/>
        <v>-6.3628106729409261E-3</v>
      </c>
      <c r="J243" s="30">
        <v>43320</v>
      </c>
      <c r="K243" s="28">
        <v>49.916106999999997</v>
      </c>
      <c r="L243" s="28">
        <f t="shared" si="7"/>
        <v>1.2666298185862609E-2</v>
      </c>
      <c r="M243" s="32">
        <v>2839.96</v>
      </c>
      <c r="N243" s="28">
        <f t="shared" si="7"/>
        <v>-6.4895523105760354E-3</v>
      </c>
    </row>
    <row r="244" spans="1:14">
      <c r="A244" s="30">
        <v>41989</v>
      </c>
      <c r="B244" s="28">
        <v>23.858644000000002</v>
      </c>
      <c r="C244" s="28">
        <f t="shared" si="6"/>
        <v>-1.3768970648850879E-2</v>
      </c>
      <c r="D244" s="31">
        <v>1972.74</v>
      </c>
      <c r="E244" s="28">
        <f t="shared" si="6"/>
        <v>-8.5252524609650115E-3</v>
      </c>
      <c r="J244" s="30">
        <v>43327</v>
      </c>
      <c r="K244" s="28">
        <v>51.354481</v>
      </c>
      <c r="L244" s="28">
        <f t="shared" si="7"/>
        <v>2.8408460198101494E-2</v>
      </c>
      <c r="M244" s="32">
        <v>2862.96</v>
      </c>
      <c r="N244" s="28">
        <f t="shared" si="7"/>
        <v>8.0660870927782864E-3</v>
      </c>
    </row>
    <row r="245" spans="1:14">
      <c r="A245" s="30">
        <v>41990</v>
      </c>
      <c r="B245" s="28">
        <v>24.453146</v>
      </c>
      <c r="C245" s="28">
        <f t="shared" si="6"/>
        <v>2.4612294862540782E-2</v>
      </c>
      <c r="D245" s="31">
        <v>2012.89</v>
      </c>
      <c r="E245" s="28">
        <f t="shared" si="6"/>
        <v>2.0148061015694455E-2</v>
      </c>
      <c r="J245" s="30">
        <v>43334</v>
      </c>
      <c r="K245" s="28">
        <v>52.467357999999997</v>
      </c>
      <c r="L245" s="28">
        <f t="shared" si="7"/>
        <v>2.1439027405796538E-2</v>
      </c>
      <c r="M245" s="32">
        <v>2897.52</v>
      </c>
      <c r="N245" s="28">
        <f t="shared" si="7"/>
        <v>1.199914405044164E-2</v>
      </c>
    </row>
    <row r="246" spans="1:14">
      <c r="A246" s="30">
        <v>41991</v>
      </c>
      <c r="B246" s="28">
        <v>25.177289999999999</v>
      </c>
      <c r="C246" s="28">
        <f t="shared" si="6"/>
        <v>2.9183519324763867E-2</v>
      </c>
      <c r="D246" s="31">
        <v>2061.23</v>
      </c>
      <c r="E246" s="28">
        <f t="shared" si="6"/>
        <v>2.3731391638557114E-2</v>
      </c>
      <c r="J246" s="30">
        <v>43341</v>
      </c>
      <c r="K246" s="28">
        <v>54.535483999999997</v>
      </c>
      <c r="L246" s="28">
        <f t="shared" si="7"/>
        <v>3.8660348527246459E-2</v>
      </c>
      <c r="M246" s="32">
        <v>2896.72</v>
      </c>
      <c r="N246" s="28">
        <f t="shared" si="7"/>
        <v>-2.7613630263287494E-4</v>
      </c>
    </row>
    <row r="247" spans="1:14">
      <c r="A247" s="30">
        <v>41992</v>
      </c>
      <c r="B247" s="28">
        <v>24.982847</v>
      </c>
      <c r="C247" s="28">
        <f t="shared" si="6"/>
        <v>-7.7529283447673909E-3</v>
      </c>
      <c r="D247" s="31">
        <v>2070.65</v>
      </c>
      <c r="E247" s="28">
        <f t="shared" si="6"/>
        <v>4.5596756540114657E-3</v>
      </c>
      <c r="J247" s="30">
        <v>43348</v>
      </c>
      <c r="K247" s="28">
        <v>53.458435000000001</v>
      </c>
      <c r="L247" s="28">
        <f t="shared" si="7"/>
        <v>-1.9947136317149051E-2</v>
      </c>
      <c r="M247" s="32">
        <v>2887.89</v>
      </c>
      <c r="N247" s="28">
        <f t="shared" si="7"/>
        <v>-3.0529307449420301E-3</v>
      </c>
    </row>
    <row r="248" spans="1:14">
      <c r="A248" s="30">
        <v>41995</v>
      </c>
      <c r="B248" s="28">
        <v>25.242104999999999</v>
      </c>
      <c r="C248" s="28">
        <f t="shared" si="6"/>
        <v>1.0323964181412171E-2</v>
      </c>
      <c r="D248" s="31">
        <v>2078.54</v>
      </c>
      <c r="E248" s="28">
        <f t="shared" si="6"/>
        <v>3.8031565245638006E-3</v>
      </c>
      <c r="J248" s="30">
        <v>43355</v>
      </c>
      <c r="K248" s="28">
        <v>52.118690000000001</v>
      </c>
      <c r="L248" s="28">
        <f t="shared" si="7"/>
        <v>-2.5380818423232331E-2</v>
      </c>
      <c r="M248" s="32">
        <v>2904.31</v>
      </c>
      <c r="N248" s="28">
        <f t="shared" si="7"/>
        <v>5.6697089140124767E-3</v>
      </c>
    </row>
    <row r="249" spans="1:14">
      <c r="A249" s="30">
        <v>41996</v>
      </c>
      <c r="B249" s="28">
        <v>25.152705999999998</v>
      </c>
      <c r="C249" s="28">
        <f t="shared" si="6"/>
        <v>-3.5479483702822515E-3</v>
      </c>
      <c r="D249" s="31">
        <v>2082.17</v>
      </c>
      <c r="E249" s="28">
        <f t="shared" si="6"/>
        <v>1.7448949438961451E-3</v>
      </c>
      <c r="J249" s="30">
        <v>43362</v>
      </c>
      <c r="K249" s="28">
        <v>53.062004000000002</v>
      </c>
      <c r="L249" s="28">
        <f t="shared" si="7"/>
        <v>1.7937498924945738E-2</v>
      </c>
      <c r="M249" s="32">
        <v>2915.56</v>
      </c>
      <c r="N249" s="28">
        <f t="shared" si="7"/>
        <v>3.8660705522088955E-3</v>
      </c>
    </row>
    <row r="250" spans="1:14">
      <c r="A250" s="30">
        <v>41997</v>
      </c>
      <c r="B250" s="28">
        <v>25.034246</v>
      </c>
      <c r="C250" s="28">
        <f t="shared" si="6"/>
        <v>-4.7207576979558016E-3</v>
      </c>
      <c r="D250" s="31">
        <v>2081.88</v>
      </c>
      <c r="E250" s="28">
        <f t="shared" si="6"/>
        <v>-1.3928747275794275E-4</v>
      </c>
      <c r="J250" s="30">
        <v>43369</v>
      </c>
      <c r="K250" s="28">
        <v>54.755187999999997</v>
      </c>
      <c r="L250" s="28">
        <f t="shared" si="7"/>
        <v>3.1411005637953543E-2</v>
      </c>
      <c r="M250" s="32">
        <v>2923.43</v>
      </c>
      <c r="N250" s="28">
        <f t="shared" si="7"/>
        <v>2.6956733153211182E-3</v>
      </c>
    </row>
    <row r="251" spans="1:14">
      <c r="A251" s="30">
        <v>41999</v>
      </c>
      <c r="B251" s="28">
        <v>25.476777999999999</v>
      </c>
      <c r="C251" s="28">
        <f t="shared" si="6"/>
        <v>1.7522643095583917E-2</v>
      </c>
      <c r="D251" s="31">
        <v>2088.77</v>
      </c>
      <c r="E251" s="28">
        <f t="shared" si="6"/>
        <v>3.3040443422532773E-3</v>
      </c>
      <c r="J251" s="30">
        <v>43376</v>
      </c>
      <c r="K251" s="28">
        <v>54.179656999999999</v>
      </c>
      <c r="L251" s="28">
        <f t="shared" si="7"/>
        <v>-1.0566616310667111E-2</v>
      </c>
      <c r="M251" s="32">
        <v>2880.34</v>
      </c>
      <c r="N251" s="28">
        <f t="shared" si="7"/>
        <v>-1.4849241708670594E-2</v>
      </c>
    </row>
    <row r="252" spans="1:14">
      <c r="A252" s="30">
        <v>42002</v>
      </c>
      <c r="B252" s="28">
        <v>25.458904</v>
      </c>
      <c r="C252" s="28">
        <f t="shared" si="6"/>
        <v>-7.0182630454103466E-4</v>
      </c>
      <c r="D252" s="31">
        <v>2090.5700000000002</v>
      </c>
      <c r="E252" s="28">
        <f t="shared" si="6"/>
        <v>8.6138007977164255E-4</v>
      </c>
      <c r="J252" s="30">
        <v>43383</v>
      </c>
      <c r="K252" s="28">
        <v>53.052460000000004</v>
      </c>
      <c r="L252" s="28">
        <f t="shared" si="7"/>
        <v>-2.1024270554896113E-2</v>
      </c>
      <c r="M252" s="32">
        <v>2809.92</v>
      </c>
      <c r="N252" s="28">
        <f t="shared" si="7"/>
        <v>-2.4752329545907788E-2</v>
      </c>
    </row>
    <row r="253" spans="1:14">
      <c r="A253" s="30">
        <v>42003</v>
      </c>
      <c r="B253" s="28">
        <v>25.148237000000002</v>
      </c>
      <c r="C253" s="28">
        <f t="shared" si="6"/>
        <v>-1.2277749599277261E-2</v>
      </c>
      <c r="D253" s="31">
        <v>2080.35</v>
      </c>
      <c r="E253" s="28">
        <f t="shared" si="6"/>
        <v>-4.9006072778080582E-3</v>
      </c>
      <c r="J253" s="30">
        <v>43390</v>
      </c>
      <c r="K253" s="28">
        <v>53.190967999999998</v>
      </c>
      <c r="L253" s="28">
        <f t="shared" si="7"/>
        <v>2.6073721655379702E-3</v>
      </c>
      <c r="M253" s="32">
        <v>2740.69</v>
      </c>
      <c r="N253" s="28">
        <f t="shared" si="7"/>
        <v>-2.4946299674543759E-2</v>
      </c>
    </row>
    <row r="254" spans="1:14">
      <c r="A254" s="30">
        <v>42004</v>
      </c>
      <c r="B254" s="28">
        <v>24.669944999999998</v>
      </c>
      <c r="C254" s="28">
        <f t="shared" si="6"/>
        <v>-1.9202093574767241E-2</v>
      </c>
      <c r="D254" s="31">
        <v>2058.9</v>
      </c>
      <c r="E254" s="28">
        <f t="shared" si="6"/>
        <v>-1.036428918775506E-2</v>
      </c>
      <c r="J254" s="30">
        <v>43397</v>
      </c>
      <c r="K254" s="28">
        <v>50.938957000000002</v>
      </c>
      <c r="L254" s="28">
        <f t="shared" si="7"/>
        <v>-4.3260613225211825E-2</v>
      </c>
      <c r="M254" s="32">
        <v>2682.63</v>
      </c>
      <c r="N254" s="28">
        <f t="shared" si="7"/>
        <v>-2.1412056911131773E-2</v>
      </c>
    </row>
    <row r="255" spans="1:14">
      <c r="A255" s="30">
        <v>42006</v>
      </c>
      <c r="B255" s="28">
        <v>24.435269999999999</v>
      </c>
      <c r="C255" s="28">
        <f t="shared" si="6"/>
        <v>-9.558120725497157E-3</v>
      </c>
      <c r="D255" s="31">
        <v>2058.1999999999998</v>
      </c>
      <c r="E255" s="28">
        <f t="shared" si="6"/>
        <v>-3.400451807075162E-4</v>
      </c>
      <c r="J255" s="30">
        <v>43404</v>
      </c>
      <c r="K255" s="28">
        <v>48.663055</v>
      </c>
      <c r="L255" s="28">
        <f t="shared" si="7"/>
        <v>-4.5707876315397092E-2</v>
      </c>
      <c r="M255" s="32">
        <v>2755.45</v>
      </c>
      <c r="N255" s="28">
        <f t="shared" si="7"/>
        <v>2.6783112045575142E-2</v>
      </c>
    </row>
    <row r="256" spans="1:14">
      <c r="A256" s="30">
        <v>42009</v>
      </c>
      <c r="B256" s="28">
        <v>23.746884999999999</v>
      </c>
      <c r="C256" s="28">
        <f t="shared" si="6"/>
        <v>-2.8576216400862758E-2</v>
      </c>
      <c r="D256" s="31">
        <v>2020.58</v>
      </c>
      <c r="E256" s="28">
        <f t="shared" si="6"/>
        <v>-1.8447215507429587E-2</v>
      </c>
      <c r="J256" s="30">
        <v>43411</v>
      </c>
      <c r="K256" s="28">
        <v>45.907153999999998</v>
      </c>
      <c r="L256" s="28">
        <f t="shared" si="7"/>
        <v>-5.8299152469636434E-2</v>
      </c>
      <c r="M256" s="32">
        <v>2722.18</v>
      </c>
      <c r="N256" s="28">
        <f t="shared" si="7"/>
        <v>-1.2147738759297566E-2</v>
      </c>
    </row>
    <row r="257" spans="1:14">
      <c r="A257" s="30">
        <v>42010</v>
      </c>
      <c r="B257" s="28">
        <v>23.749124999999999</v>
      </c>
      <c r="C257" s="28">
        <f t="shared" si="6"/>
        <v>9.4323712735532511E-5</v>
      </c>
      <c r="D257" s="31">
        <v>2002.61</v>
      </c>
      <c r="E257" s="28">
        <f t="shared" si="6"/>
        <v>-8.9332691248878455E-3</v>
      </c>
      <c r="J257" s="30">
        <v>43418</v>
      </c>
      <c r="K257" s="28">
        <v>42.412708000000002</v>
      </c>
      <c r="L257" s="28">
        <f t="shared" si="7"/>
        <v>-7.917293117506978E-2</v>
      </c>
      <c r="M257" s="32">
        <v>2641.89</v>
      </c>
      <c r="N257" s="28">
        <f t="shared" si="7"/>
        <v>-2.9938459781633429E-2</v>
      </c>
    </row>
    <row r="258" spans="1:14">
      <c r="A258" s="30">
        <v>42011</v>
      </c>
      <c r="B258" s="28">
        <v>24.082139999999999</v>
      </c>
      <c r="C258" s="28">
        <f t="shared" si="6"/>
        <v>1.3924799227071127E-2</v>
      </c>
      <c r="D258" s="31">
        <v>2025.9</v>
      </c>
      <c r="E258" s="28">
        <f t="shared" si="6"/>
        <v>1.1562716479232132E-2</v>
      </c>
      <c r="J258" s="30">
        <v>43425</v>
      </c>
      <c r="K258" s="28">
        <v>41.756084000000001</v>
      </c>
      <c r="L258" s="28">
        <f t="shared" si="7"/>
        <v>-1.5602869081910588E-2</v>
      </c>
      <c r="M258" s="32">
        <v>2682.17</v>
      </c>
      <c r="N258" s="28">
        <f t="shared" si="7"/>
        <v>1.5131598275430687E-2</v>
      </c>
    </row>
    <row r="259" spans="1:14">
      <c r="A259" s="30">
        <v>42012</v>
      </c>
      <c r="B259" s="28">
        <v>25.007425000000001</v>
      </c>
      <c r="C259" s="28">
        <f t="shared" si="6"/>
        <v>3.7702293848660536E-2</v>
      </c>
      <c r="D259" s="31">
        <v>2062.14</v>
      </c>
      <c r="E259" s="28">
        <f t="shared" si="6"/>
        <v>1.7730232270553911E-2</v>
      </c>
      <c r="J259" s="30">
        <v>43432</v>
      </c>
      <c r="K259" s="28">
        <v>42.343220000000002</v>
      </c>
      <c r="L259" s="28">
        <f t="shared" si="7"/>
        <v>1.3963148599603563E-2</v>
      </c>
      <c r="M259" s="32">
        <v>2700.06</v>
      </c>
      <c r="N259" s="28">
        <f t="shared" si="7"/>
        <v>6.6478266017026486E-3</v>
      </c>
    </row>
    <row r="260" spans="1:14">
      <c r="A260" s="30">
        <v>42013</v>
      </c>
      <c r="B260" s="28">
        <v>25.034246</v>
      </c>
      <c r="C260" s="28">
        <f t="shared" si="6"/>
        <v>1.0719467208945117E-3</v>
      </c>
      <c r="D260" s="31">
        <v>2044.81</v>
      </c>
      <c r="E260" s="28">
        <f t="shared" si="6"/>
        <v>-8.4394028943683176E-3</v>
      </c>
      <c r="J260" s="30">
        <v>43439</v>
      </c>
      <c r="K260" s="28">
        <v>40.411662999999997</v>
      </c>
      <c r="L260" s="28">
        <f t="shared" si="7"/>
        <v>-4.6689882407056085E-2</v>
      </c>
      <c r="M260" s="32">
        <v>2636.78</v>
      </c>
      <c r="N260" s="28">
        <f t="shared" si="7"/>
        <v>-2.3715519232802327E-2</v>
      </c>
    </row>
    <row r="261" spans="1:14">
      <c r="A261" s="30">
        <v>42016</v>
      </c>
      <c r="B261" s="28">
        <v>24.417387000000002</v>
      </c>
      <c r="C261" s="28">
        <f t="shared" ref="C261:E324" si="8">LN(B261/B260)</f>
        <v>-2.4949266992941126E-2</v>
      </c>
      <c r="D261" s="31">
        <v>2028.26</v>
      </c>
      <c r="E261" s="28">
        <f t="shared" si="8"/>
        <v>-8.1265930033877221E-3</v>
      </c>
      <c r="J261" s="30">
        <v>43446</v>
      </c>
      <c r="K261" s="28">
        <v>39.798164</v>
      </c>
      <c r="L261" s="28">
        <f t="shared" ref="L261:N324" si="9">LN(K261/K260)</f>
        <v>-1.5297650850444973E-2</v>
      </c>
      <c r="M261" s="32">
        <v>2546.16</v>
      </c>
      <c r="N261" s="28">
        <f t="shared" si="9"/>
        <v>-3.4972133915804719E-2</v>
      </c>
    </row>
    <row r="262" spans="1:14">
      <c r="A262" s="30">
        <v>42017</v>
      </c>
      <c r="B262" s="28">
        <v>24.634186</v>
      </c>
      <c r="C262" s="28">
        <f t="shared" si="8"/>
        <v>8.8396925303066663E-3</v>
      </c>
      <c r="D262" s="31">
        <v>2023.03</v>
      </c>
      <c r="E262" s="28">
        <f t="shared" si="8"/>
        <v>-2.5818951027174481E-3</v>
      </c>
      <c r="J262" s="30">
        <v>43453</v>
      </c>
      <c r="K262" s="28">
        <v>35.187359000000001</v>
      </c>
      <c r="L262" s="28">
        <f t="shared" si="9"/>
        <v>-0.12313388178598945</v>
      </c>
      <c r="M262" s="32">
        <v>2351.1</v>
      </c>
      <c r="N262" s="28">
        <f t="shared" si="9"/>
        <v>-7.9703038092197198E-2</v>
      </c>
    </row>
    <row r="263" spans="1:14">
      <c r="A263" s="30">
        <v>42018</v>
      </c>
      <c r="B263" s="28">
        <v>24.540313999999999</v>
      </c>
      <c r="C263" s="28">
        <f t="shared" si="8"/>
        <v>-3.8179183937642469E-3</v>
      </c>
      <c r="D263" s="31">
        <v>2011.27</v>
      </c>
      <c r="E263" s="28">
        <f t="shared" si="8"/>
        <v>-5.8300241971988576E-3</v>
      </c>
      <c r="J263" s="30">
        <v>43460</v>
      </c>
      <c r="K263" s="28">
        <v>37.801907</v>
      </c>
      <c r="L263" s="28">
        <f t="shared" si="9"/>
        <v>7.1672652301361578E-2</v>
      </c>
      <c r="M263" s="32">
        <v>2506.85</v>
      </c>
      <c r="N263" s="28">
        <f t="shared" si="9"/>
        <v>6.4143681172244643E-2</v>
      </c>
    </row>
    <row r="264" spans="1:14">
      <c r="A264" s="30">
        <v>42019</v>
      </c>
      <c r="B264" s="28">
        <v>23.874281</v>
      </c>
      <c r="C264" s="28">
        <f t="shared" si="8"/>
        <v>-2.7515463906850668E-2</v>
      </c>
      <c r="D264" s="31">
        <v>1992.67</v>
      </c>
      <c r="E264" s="28">
        <f t="shared" si="8"/>
        <v>-9.2909153471455157E-3</v>
      </c>
      <c r="J264" s="30">
        <v>43467</v>
      </c>
      <c r="K264" s="28">
        <v>36.126778000000002</v>
      </c>
      <c r="L264" s="28">
        <f t="shared" si="9"/>
        <v>-4.5325187873936398E-2</v>
      </c>
      <c r="M264" s="32">
        <v>2574.41</v>
      </c>
      <c r="N264" s="28">
        <f t="shared" si="9"/>
        <v>2.6593396731649906E-2</v>
      </c>
    </row>
    <row r="265" spans="1:14">
      <c r="A265" s="30">
        <v>42020</v>
      </c>
      <c r="B265" s="28">
        <v>23.688772</v>
      </c>
      <c r="C265" s="28">
        <f t="shared" si="8"/>
        <v>-7.8005901207391136E-3</v>
      </c>
      <c r="D265" s="31">
        <v>2019.42</v>
      </c>
      <c r="E265" s="28">
        <f t="shared" si="8"/>
        <v>1.3334893478396E-2</v>
      </c>
      <c r="J265" s="30">
        <v>43474</v>
      </c>
      <c r="K265" s="28">
        <v>36.682755</v>
      </c>
      <c r="L265" s="28">
        <f t="shared" si="9"/>
        <v>1.527239040446444E-2</v>
      </c>
      <c r="M265" s="32">
        <v>2610.3000000000002</v>
      </c>
      <c r="N265" s="28">
        <f t="shared" si="9"/>
        <v>1.3844775609265527E-2</v>
      </c>
    </row>
    <row r="266" spans="1:14">
      <c r="A266" s="30">
        <v>42024</v>
      </c>
      <c r="B266" s="28">
        <v>24.298939000000001</v>
      </c>
      <c r="C266" s="28">
        <f t="shared" si="8"/>
        <v>2.5431506232487931E-2</v>
      </c>
      <c r="D266" s="31">
        <v>2022.55</v>
      </c>
      <c r="E266" s="28">
        <f t="shared" si="8"/>
        <v>1.5487500528907781E-3</v>
      </c>
      <c r="J266" s="30">
        <v>43481</v>
      </c>
      <c r="K266" s="28">
        <v>36.737869000000003</v>
      </c>
      <c r="L266" s="28">
        <f t="shared" si="9"/>
        <v>1.5013223083504255E-3</v>
      </c>
      <c r="M266" s="32">
        <v>2632.9</v>
      </c>
      <c r="N266" s="28">
        <f t="shared" si="9"/>
        <v>8.6207430439069546E-3</v>
      </c>
    </row>
    <row r="267" spans="1:14">
      <c r="A267" s="30">
        <v>42025</v>
      </c>
      <c r="B267" s="28">
        <v>24.484442000000001</v>
      </c>
      <c r="C267" s="28">
        <f t="shared" si="8"/>
        <v>7.6052085898350823E-3</v>
      </c>
      <c r="D267" s="31">
        <v>2032.12</v>
      </c>
      <c r="E267" s="28">
        <f t="shared" si="8"/>
        <v>4.7204915668688828E-3</v>
      </c>
      <c r="J267" s="30">
        <v>43488</v>
      </c>
      <c r="K267" s="28">
        <v>37.068576999999998</v>
      </c>
      <c r="L267" s="28">
        <f t="shared" si="9"/>
        <v>8.9615536628060103E-3</v>
      </c>
      <c r="M267" s="32">
        <v>2640</v>
      </c>
      <c r="N267" s="28">
        <f t="shared" si="9"/>
        <v>2.6930168563663328E-3</v>
      </c>
    </row>
    <row r="268" spans="1:14">
      <c r="A268" s="30">
        <v>42026</v>
      </c>
      <c r="B268" s="28">
        <v>25.121414000000001</v>
      </c>
      <c r="C268" s="28">
        <f t="shared" si="8"/>
        <v>2.5682734393042809E-2</v>
      </c>
      <c r="D268" s="31">
        <v>2063.15</v>
      </c>
      <c r="E268" s="28">
        <f t="shared" si="8"/>
        <v>1.5154358001382194E-2</v>
      </c>
      <c r="J268" s="30">
        <v>43495</v>
      </c>
      <c r="K268" s="28">
        <v>41.741695</v>
      </c>
      <c r="L268" s="28">
        <f t="shared" si="9"/>
        <v>0.11873087976340847</v>
      </c>
      <c r="M268" s="32">
        <v>2737.7</v>
      </c>
      <c r="N268" s="28">
        <f t="shared" si="9"/>
        <v>3.6339234676419765E-2</v>
      </c>
    </row>
    <row r="269" spans="1:14">
      <c r="A269" s="30">
        <v>42027</v>
      </c>
      <c r="B269" s="28">
        <v>25.251045000000001</v>
      </c>
      <c r="C269" s="28">
        <f t="shared" si="8"/>
        <v>5.1469111788968579E-3</v>
      </c>
      <c r="D269" s="31">
        <v>2051.8200000000002</v>
      </c>
      <c r="E269" s="28">
        <f t="shared" si="8"/>
        <v>-5.5067369293280901E-3</v>
      </c>
      <c r="J269" s="30">
        <v>43502</v>
      </c>
      <c r="K269" s="28">
        <v>40.953274</v>
      </c>
      <c r="L269" s="28">
        <f t="shared" si="9"/>
        <v>-1.9068751090433701E-2</v>
      </c>
      <c r="M269" s="32">
        <v>2744.73</v>
      </c>
      <c r="N269" s="28">
        <f t="shared" si="9"/>
        <v>2.5645576333850522E-3</v>
      </c>
    </row>
    <row r="270" spans="1:14">
      <c r="A270" s="30">
        <v>42030</v>
      </c>
      <c r="B270" s="28">
        <v>25.277861000000001</v>
      </c>
      <c r="C270" s="28">
        <f t="shared" si="8"/>
        <v>1.0614123534583926E-3</v>
      </c>
      <c r="D270" s="31">
        <v>2057.09</v>
      </c>
      <c r="E270" s="28">
        <f t="shared" si="8"/>
        <v>2.565158589374469E-3</v>
      </c>
      <c r="J270" s="30">
        <v>43509</v>
      </c>
      <c r="K270" s="28">
        <v>41.138527000000003</v>
      </c>
      <c r="L270" s="28">
        <f t="shared" si="9"/>
        <v>4.513320750944582E-3</v>
      </c>
      <c r="M270" s="32">
        <v>2779.76</v>
      </c>
      <c r="N270" s="28">
        <f t="shared" si="9"/>
        <v>1.2681883572534511E-2</v>
      </c>
    </row>
    <row r="271" spans="1:14">
      <c r="A271" s="30">
        <v>42031</v>
      </c>
      <c r="B271" s="28">
        <v>24.392803000000001</v>
      </c>
      <c r="C271" s="28">
        <f t="shared" si="8"/>
        <v>-3.5640823583262191E-2</v>
      </c>
      <c r="D271" s="31">
        <v>2029.55</v>
      </c>
      <c r="E271" s="28">
        <f t="shared" si="8"/>
        <v>-1.347826914874784E-2</v>
      </c>
      <c r="J271" s="30">
        <v>43516</v>
      </c>
      <c r="K271" s="28">
        <v>41.956820999999998</v>
      </c>
      <c r="L271" s="28">
        <f t="shared" si="9"/>
        <v>1.9695939012835579E-2</v>
      </c>
      <c r="M271" s="32">
        <v>2793.9</v>
      </c>
      <c r="N271" s="28">
        <f t="shared" si="9"/>
        <v>5.0738761730205898E-3</v>
      </c>
    </row>
    <row r="272" spans="1:14">
      <c r="A272" s="30">
        <v>42032</v>
      </c>
      <c r="B272" s="28">
        <v>25.771796999999999</v>
      </c>
      <c r="C272" s="28">
        <f t="shared" si="8"/>
        <v>5.4992624706095859E-2</v>
      </c>
      <c r="D272" s="31">
        <v>2002.16</v>
      </c>
      <c r="E272" s="28">
        <f t="shared" si="8"/>
        <v>-1.3587495823831957E-2</v>
      </c>
      <c r="J272" s="30">
        <v>43523</v>
      </c>
      <c r="K272" s="28">
        <v>42.245640000000002</v>
      </c>
      <c r="L272" s="28">
        <f t="shared" si="9"/>
        <v>6.8601351850269138E-3</v>
      </c>
      <c r="M272" s="32">
        <v>2789.65</v>
      </c>
      <c r="N272" s="28">
        <f t="shared" si="9"/>
        <v>-1.5223292782464302E-3</v>
      </c>
    </row>
    <row r="273" spans="1:14">
      <c r="A273" s="30">
        <v>42033</v>
      </c>
      <c r="B273" s="28">
        <v>26.574162999999999</v>
      </c>
      <c r="C273" s="28">
        <f t="shared" si="8"/>
        <v>3.0658673485419275E-2</v>
      </c>
      <c r="D273" s="31">
        <v>2021.25</v>
      </c>
      <c r="E273" s="28">
        <f t="shared" si="8"/>
        <v>9.4895341296701297E-3</v>
      </c>
      <c r="J273" s="30">
        <v>43530</v>
      </c>
      <c r="K273" s="28">
        <v>43.540461999999998</v>
      </c>
      <c r="L273" s="28">
        <f t="shared" si="9"/>
        <v>3.0189513470668752E-2</v>
      </c>
      <c r="M273" s="32">
        <v>2791.52</v>
      </c>
      <c r="N273" s="28">
        <f t="shared" si="9"/>
        <v>6.7011041411628089E-4</v>
      </c>
    </row>
    <row r="274" spans="1:14">
      <c r="A274" s="30">
        <v>42034</v>
      </c>
      <c r="B274" s="28">
        <v>26.185279999999999</v>
      </c>
      <c r="C274" s="28">
        <f t="shared" si="8"/>
        <v>-1.4742007146101434E-2</v>
      </c>
      <c r="D274" s="31">
        <v>1994.99</v>
      </c>
      <c r="E274" s="28">
        <f t="shared" si="8"/>
        <v>-1.3077094111243876E-2</v>
      </c>
      <c r="J274" s="30">
        <v>43537</v>
      </c>
      <c r="K274" s="28">
        <v>44.893059000000001</v>
      </c>
      <c r="L274" s="28">
        <f t="shared" si="9"/>
        <v>3.059252814240071E-2</v>
      </c>
      <c r="M274" s="32">
        <v>2832.57</v>
      </c>
      <c r="N274" s="28">
        <f t="shared" si="9"/>
        <v>1.459817641613168E-2</v>
      </c>
    </row>
    <row r="275" spans="1:14">
      <c r="A275" s="30">
        <v>42037</v>
      </c>
      <c r="B275" s="28">
        <v>26.513826000000002</v>
      </c>
      <c r="C275" s="28">
        <f t="shared" si="8"/>
        <v>1.2468911965196781E-2</v>
      </c>
      <c r="D275" s="31">
        <v>2020.85</v>
      </c>
      <c r="E275" s="28">
        <f t="shared" si="8"/>
        <v>1.2879177186226798E-2</v>
      </c>
      <c r="J275" s="30">
        <v>43544</v>
      </c>
      <c r="K275" s="28">
        <v>44.955630999999997</v>
      </c>
      <c r="L275" s="28">
        <f t="shared" si="9"/>
        <v>1.3928307717270307E-3</v>
      </c>
      <c r="M275" s="32">
        <v>2818.46</v>
      </c>
      <c r="N275" s="28">
        <f t="shared" si="9"/>
        <v>-4.993790272870789E-3</v>
      </c>
    </row>
    <row r="276" spans="1:14">
      <c r="A276" s="30">
        <v>42038</v>
      </c>
      <c r="B276" s="28">
        <v>26.51829</v>
      </c>
      <c r="C276" s="28">
        <f t="shared" si="8"/>
        <v>1.6835081634459891E-4</v>
      </c>
      <c r="D276" s="31">
        <v>2050.0300000000002</v>
      </c>
      <c r="E276" s="28">
        <f t="shared" si="8"/>
        <v>1.4336212205417897E-2</v>
      </c>
      <c r="J276" s="30">
        <v>43551</v>
      </c>
      <c r="K276" s="28">
        <v>46.695712999999998</v>
      </c>
      <c r="L276" s="28">
        <f t="shared" si="9"/>
        <v>3.7976336149178655E-2</v>
      </c>
      <c r="M276" s="32">
        <v>2867.24</v>
      </c>
      <c r="N276" s="28">
        <f t="shared" si="9"/>
        <v>1.7159258101303174E-2</v>
      </c>
    </row>
    <row r="277" spans="1:14">
      <c r="A277" s="30">
        <v>42039</v>
      </c>
      <c r="B277" s="28">
        <v>26.721674</v>
      </c>
      <c r="C277" s="28">
        <f t="shared" si="8"/>
        <v>7.640312805881776E-3</v>
      </c>
      <c r="D277" s="31">
        <v>2041.51</v>
      </c>
      <c r="E277" s="28">
        <f t="shared" si="8"/>
        <v>-4.164697065034053E-3</v>
      </c>
      <c r="J277" s="30">
        <v>43558</v>
      </c>
      <c r="K277" s="28">
        <v>48.014609999999998</v>
      </c>
      <c r="L277" s="28">
        <f t="shared" si="9"/>
        <v>2.7852977849329778E-2</v>
      </c>
      <c r="M277" s="32">
        <v>2878.2</v>
      </c>
      <c r="N277" s="28">
        <f t="shared" si="9"/>
        <v>3.8152041599175592E-3</v>
      </c>
    </row>
    <row r="278" spans="1:14">
      <c r="A278" s="30">
        <v>42040</v>
      </c>
      <c r="B278" s="28">
        <v>26.912395</v>
      </c>
      <c r="C278" s="28">
        <f t="shared" si="8"/>
        <v>7.1119647434921733E-3</v>
      </c>
      <c r="D278" s="31">
        <v>2062.52</v>
      </c>
      <c r="E278" s="28">
        <f t="shared" si="8"/>
        <v>1.0238806024834353E-2</v>
      </c>
      <c r="J278" s="30">
        <v>43565</v>
      </c>
      <c r="K278" s="28">
        <v>47.954430000000002</v>
      </c>
      <c r="L278" s="28">
        <f t="shared" si="9"/>
        <v>-1.2541546292035141E-3</v>
      </c>
      <c r="M278" s="32">
        <v>2907.06</v>
      </c>
      <c r="N278" s="28">
        <f t="shared" si="9"/>
        <v>9.9771624446856749E-3</v>
      </c>
    </row>
    <row r="279" spans="1:14">
      <c r="A279" s="30">
        <v>42041</v>
      </c>
      <c r="B279" s="28">
        <v>26.685773999999999</v>
      </c>
      <c r="C279" s="28">
        <f t="shared" si="8"/>
        <v>-8.4563467258339693E-3</v>
      </c>
      <c r="D279" s="31">
        <v>2055.4699999999998</v>
      </c>
      <c r="E279" s="28">
        <f t="shared" si="8"/>
        <v>-3.424003889146327E-3</v>
      </c>
      <c r="J279" s="30">
        <v>43572</v>
      </c>
      <c r="K279" s="28">
        <v>49.935187999999997</v>
      </c>
      <c r="L279" s="28">
        <f t="shared" si="9"/>
        <v>4.0474739616359015E-2</v>
      </c>
      <c r="M279" s="32">
        <v>2933.68</v>
      </c>
      <c r="N279" s="28">
        <f t="shared" si="9"/>
        <v>9.1153464526902428E-3</v>
      </c>
    </row>
    <row r="280" spans="1:14">
      <c r="A280" s="30">
        <v>42044</v>
      </c>
      <c r="B280" s="28">
        <v>26.863036999999998</v>
      </c>
      <c r="C280" s="28">
        <f t="shared" si="8"/>
        <v>6.6206380378717672E-3</v>
      </c>
      <c r="D280" s="31">
        <v>2046.74</v>
      </c>
      <c r="E280" s="28">
        <f t="shared" si="8"/>
        <v>-4.2562487923016503E-3</v>
      </c>
      <c r="J280" s="30">
        <v>43579</v>
      </c>
      <c r="K280" s="28">
        <v>48.296191999999998</v>
      </c>
      <c r="L280" s="28">
        <f t="shared" si="9"/>
        <v>-3.3373207611638429E-2</v>
      </c>
      <c r="M280" s="32">
        <v>2945.83</v>
      </c>
      <c r="N280" s="28">
        <f t="shared" si="9"/>
        <v>4.1330033609037831E-3</v>
      </c>
    </row>
    <row r="281" spans="1:14">
      <c r="A281" s="30">
        <v>42045</v>
      </c>
      <c r="B281" s="28">
        <v>27.379114000000001</v>
      </c>
      <c r="C281" s="28">
        <f t="shared" si="8"/>
        <v>1.9029207488149937E-2</v>
      </c>
      <c r="D281" s="31">
        <v>2068.59</v>
      </c>
      <c r="E281" s="28">
        <f t="shared" si="8"/>
        <v>1.0618932294575799E-2</v>
      </c>
      <c r="J281" s="30">
        <v>43586</v>
      </c>
      <c r="K281" s="28">
        <v>48.823276999999997</v>
      </c>
      <c r="L281" s="28">
        <f t="shared" si="9"/>
        <v>1.0854469870810587E-2</v>
      </c>
      <c r="M281" s="32">
        <v>2884.05</v>
      </c>
      <c r="N281" s="28">
        <f t="shared" si="9"/>
        <v>-2.1195054707897447E-2</v>
      </c>
    </row>
    <row r="282" spans="1:14">
      <c r="A282" s="30">
        <v>42046</v>
      </c>
      <c r="B282" s="28">
        <v>28.020848999999998</v>
      </c>
      <c r="C282" s="28">
        <f t="shared" si="8"/>
        <v>2.3168380285385638E-2</v>
      </c>
      <c r="D282" s="31">
        <v>2068.5300000000002</v>
      </c>
      <c r="E282" s="28">
        <f t="shared" si="8"/>
        <v>-2.900568511630124E-5</v>
      </c>
      <c r="J282" s="30">
        <v>43593</v>
      </c>
      <c r="K282" s="28">
        <v>45.405692999999999</v>
      </c>
      <c r="L282" s="28">
        <f t="shared" si="9"/>
        <v>-7.256969317995314E-2</v>
      </c>
      <c r="M282" s="32">
        <v>2834.41</v>
      </c>
      <c r="N282" s="28">
        <f t="shared" si="9"/>
        <v>-1.7361753657871775E-2</v>
      </c>
    </row>
    <row r="283" spans="1:14">
      <c r="A283" s="30">
        <v>42047</v>
      </c>
      <c r="B283" s="28">
        <v>28.375374000000001</v>
      </c>
      <c r="C283" s="28">
        <f t="shared" si="8"/>
        <v>1.2572816095744517E-2</v>
      </c>
      <c r="D283" s="31">
        <v>2088.48</v>
      </c>
      <c r="E283" s="28">
        <f t="shared" si="8"/>
        <v>9.5983185809504629E-3</v>
      </c>
      <c r="J283" s="30">
        <v>43600</v>
      </c>
      <c r="K283" s="28">
        <v>45.082863000000003</v>
      </c>
      <c r="L283" s="28">
        <f t="shared" si="9"/>
        <v>-7.1352971898778596E-3</v>
      </c>
      <c r="M283" s="32">
        <v>2864.36</v>
      </c>
      <c r="N283" s="28">
        <f t="shared" si="9"/>
        <v>1.0511136876602675E-2</v>
      </c>
    </row>
    <row r="284" spans="1:14">
      <c r="A284" s="30">
        <v>42048</v>
      </c>
      <c r="B284" s="28">
        <v>28.514492000000001</v>
      </c>
      <c r="C284" s="28">
        <f t="shared" si="8"/>
        <v>4.8907929333763594E-3</v>
      </c>
      <c r="D284" s="31">
        <v>2096.9899999999998</v>
      </c>
      <c r="E284" s="28">
        <f t="shared" si="8"/>
        <v>4.0664545328546334E-3</v>
      </c>
      <c r="J284" s="30">
        <v>43607</v>
      </c>
      <c r="K284" s="28">
        <v>43.060634999999998</v>
      </c>
      <c r="L284" s="28">
        <f t="shared" si="9"/>
        <v>-4.5892957779391778E-2</v>
      </c>
      <c r="M284" s="32">
        <v>2802.39</v>
      </c>
      <c r="N284" s="28">
        <f t="shared" si="9"/>
        <v>-2.1872314998244522E-2</v>
      </c>
    </row>
    <row r="285" spans="1:14">
      <c r="A285" s="30">
        <v>42052</v>
      </c>
      <c r="B285" s="28">
        <v>28.682779</v>
      </c>
      <c r="C285" s="28">
        <f t="shared" si="8"/>
        <v>5.8844585645988004E-3</v>
      </c>
      <c r="D285" s="31">
        <v>2100.34</v>
      </c>
      <c r="E285" s="28">
        <f t="shared" si="8"/>
        <v>1.5962531949234387E-3</v>
      </c>
      <c r="J285" s="30">
        <v>43614</v>
      </c>
      <c r="K285" s="28">
        <v>43.401299000000002</v>
      </c>
      <c r="L285" s="28">
        <f t="shared" si="9"/>
        <v>7.8801328416928038E-3</v>
      </c>
      <c r="M285" s="32">
        <v>2803.27</v>
      </c>
      <c r="N285" s="28">
        <f t="shared" si="9"/>
        <v>3.1396838453589377E-4</v>
      </c>
    </row>
    <row r="286" spans="1:14">
      <c r="A286" s="30">
        <v>42053</v>
      </c>
      <c r="B286" s="28">
        <v>28.882477000000002</v>
      </c>
      <c r="C286" s="28">
        <f t="shared" si="8"/>
        <v>6.9381712153436838E-3</v>
      </c>
      <c r="D286" s="31">
        <v>2099.6799999999998</v>
      </c>
      <c r="E286" s="28">
        <f t="shared" si="8"/>
        <v>-3.1428422028125343E-4</v>
      </c>
      <c r="J286" s="30">
        <v>43621</v>
      </c>
      <c r="K286" s="28">
        <v>47.066395</v>
      </c>
      <c r="L286" s="28">
        <f t="shared" si="9"/>
        <v>8.1069892885684447E-2</v>
      </c>
      <c r="M286" s="32">
        <v>2885.72</v>
      </c>
      <c r="N286" s="28">
        <f t="shared" si="9"/>
        <v>2.8987842638564177E-2</v>
      </c>
    </row>
    <row r="287" spans="1:14">
      <c r="A287" s="30">
        <v>42054</v>
      </c>
      <c r="B287" s="28">
        <v>28.821895999999999</v>
      </c>
      <c r="C287" s="28">
        <f t="shared" si="8"/>
        <v>-2.099702989831326E-3</v>
      </c>
      <c r="D287" s="31">
        <v>2097.4499999999998</v>
      </c>
      <c r="E287" s="28">
        <f t="shared" si="8"/>
        <v>-1.0626309930072469E-3</v>
      </c>
      <c r="J287" s="30">
        <v>43628</v>
      </c>
      <c r="K287" s="28">
        <v>47.945830999999998</v>
      </c>
      <c r="L287" s="28">
        <f t="shared" si="9"/>
        <v>1.8512588395736745E-2</v>
      </c>
      <c r="M287" s="32">
        <v>2917.75</v>
      </c>
      <c r="N287" s="28">
        <f t="shared" si="9"/>
        <v>1.1038335762421081E-2</v>
      </c>
    </row>
    <row r="288" spans="1:14">
      <c r="A288" s="30">
        <v>42055</v>
      </c>
      <c r="B288" s="28">
        <v>29.057497000000001</v>
      </c>
      <c r="C288" s="28">
        <f t="shared" si="8"/>
        <v>8.141146237221189E-3</v>
      </c>
      <c r="D288" s="31">
        <v>2110.3000000000002</v>
      </c>
      <c r="E288" s="28">
        <f t="shared" si="8"/>
        <v>6.1077963032981041E-3</v>
      </c>
      <c r="J288" s="30">
        <v>43635</v>
      </c>
      <c r="K288" s="28">
        <v>47.250014999999998</v>
      </c>
      <c r="L288" s="28">
        <f t="shared" si="9"/>
        <v>-1.4618881415417864E-2</v>
      </c>
      <c r="M288" s="32">
        <v>2917.38</v>
      </c>
      <c r="N288" s="28">
        <f t="shared" si="9"/>
        <v>-1.2681808305751142E-4</v>
      </c>
    </row>
    <row r="289" spans="1:14">
      <c r="A289" s="30">
        <v>42058</v>
      </c>
      <c r="B289" s="28">
        <v>29.842834</v>
      </c>
      <c r="C289" s="28">
        <f t="shared" si="8"/>
        <v>2.6668221724088836E-2</v>
      </c>
      <c r="D289" s="31">
        <v>2109.66</v>
      </c>
      <c r="E289" s="28">
        <f t="shared" si="8"/>
        <v>-3.0332041294573771E-4</v>
      </c>
      <c r="J289" s="30">
        <v>43642</v>
      </c>
      <c r="K289" s="28">
        <v>48.979874000000002</v>
      </c>
      <c r="L289" s="28">
        <f t="shared" si="9"/>
        <v>3.5956507642131541E-2</v>
      </c>
      <c r="M289" s="32">
        <v>2973.01</v>
      </c>
      <c r="N289" s="28">
        <f t="shared" si="9"/>
        <v>1.8888954388820722E-2</v>
      </c>
    </row>
    <row r="290" spans="1:14">
      <c r="A290" s="30">
        <v>42059</v>
      </c>
      <c r="B290" s="28">
        <v>29.656587999999999</v>
      </c>
      <c r="C290" s="28">
        <f t="shared" si="8"/>
        <v>-6.2604510107137088E-3</v>
      </c>
      <c r="D290" s="31">
        <v>2115.48</v>
      </c>
      <c r="E290" s="28">
        <f t="shared" si="8"/>
        <v>2.7549400403308333E-3</v>
      </c>
      <c r="J290" s="30">
        <v>43649</v>
      </c>
      <c r="K290" s="28">
        <v>48.619903999999998</v>
      </c>
      <c r="L290" s="28">
        <f t="shared" si="9"/>
        <v>-7.3764846522144578E-3</v>
      </c>
      <c r="M290" s="32">
        <v>2979.63</v>
      </c>
      <c r="N290" s="28">
        <f t="shared" si="9"/>
        <v>2.2242241187741115E-3</v>
      </c>
    </row>
    <row r="291" spans="1:14">
      <c r="A291" s="30">
        <v>42060</v>
      </c>
      <c r="B291" s="28">
        <v>28.89818</v>
      </c>
      <c r="C291" s="28">
        <f t="shared" si="8"/>
        <v>-2.5905675648744866E-2</v>
      </c>
      <c r="D291" s="31">
        <v>2113.86</v>
      </c>
      <c r="E291" s="28">
        <f t="shared" si="8"/>
        <v>-7.6607701401540612E-4</v>
      </c>
      <c r="J291" s="30">
        <v>43656</v>
      </c>
      <c r="K291" s="28">
        <v>49.407508999999997</v>
      </c>
      <c r="L291" s="28">
        <f t="shared" si="9"/>
        <v>1.6069422301079085E-2</v>
      </c>
      <c r="M291" s="32">
        <v>3004.04</v>
      </c>
      <c r="N291" s="28">
        <f t="shared" si="9"/>
        <v>8.1589176576011176E-3</v>
      </c>
    </row>
    <row r="292" spans="1:14">
      <c r="A292" s="30">
        <v>42061</v>
      </c>
      <c r="B292" s="28">
        <v>29.263926000000001</v>
      </c>
      <c r="C292" s="28">
        <f t="shared" si="8"/>
        <v>1.2576945584320631E-2</v>
      </c>
      <c r="D292" s="31">
        <v>2110.7399999999998</v>
      </c>
      <c r="E292" s="28">
        <f t="shared" si="8"/>
        <v>-1.477063185743682E-3</v>
      </c>
      <c r="J292" s="30">
        <v>43663</v>
      </c>
      <c r="K292" s="28">
        <v>50.456069999999997</v>
      </c>
      <c r="L292" s="28">
        <f t="shared" si="9"/>
        <v>2.1000640016764483E-2</v>
      </c>
      <c r="M292" s="32">
        <v>3005.47</v>
      </c>
      <c r="N292" s="28">
        <f t="shared" si="9"/>
        <v>4.7591235458133672E-4</v>
      </c>
    </row>
    <row r="293" spans="1:14">
      <c r="A293" s="30">
        <v>42062</v>
      </c>
      <c r="B293" s="28">
        <v>28.824138999999999</v>
      </c>
      <c r="C293" s="28">
        <f t="shared" si="8"/>
        <v>-1.514236713669135E-2</v>
      </c>
      <c r="D293" s="31">
        <v>2104.5</v>
      </c>
      <c r="E293" s="28">
        <f t="shared" si="8"/>
        <v>-2.9606876752680299E-3</v>
      </c>
      <c r="J293" s="30">
        <v>43670</v>
      </c>
      <c r="K293" s="28">
        <v>50.441578</v>
      </c>
      <c r="L293" s="28">
        <f t="shared" si="9"/>
        <v>-2.872614057297486E-4</v>
      </c>
      <c r="M293" s="32">
        <v>3013.18</v>
      </c>
      <c r="N293" s="28">
        <f t="shared" si="9"/>
        <v>2.5620377384940867E-3</v>
      </c>
    </row>
    <row r="294" spans="1:14">
      <c r="A294" s="30">
        <v>42065</v>
      </c>
      <c r="B294" s="28">
        <v>28.965492000000001</v>
      </c>
      <c r="C294" s="28">
        <f t="shared" si="8"/>
        <v>4.8919946175226712E-3</v>
      </c>
      <c r="D294" s="31">
        <v>2117.39</v>
      </c>
      <c r="E294" s="28">
        <f t="shared" si="8"/>
        <v>6.1062889142892368E-3</v>
      </c>
      <c r="J294" s="30">
        <v>43677</v>
      </c>
      <c r="K294" s="28">
        <v>47.595505000000003</v>
      </c>
      <c r="L294" s="28">
        <f t="shared" si="9"/>
        <v>-5.8077471296839649E-2</v>
      </c>
      <c r="M294" s="32">
        <v>2881.77</v>
      </c>
      <c r="N294" s="28">
        <f t="shared" si="9"/>
        <v>-4.4591310783345807E-2</v>
      </c>
    </row>
    <row r="295" spans="1:14">
      <c r="A295" s="30">
        <v>42066</v>
      </c>
      <c r="B295" s="28">
        <v>29.026078999999999</v>
      </c>
      <c r="C295" s="28">
        <f t="shared" si="8"/>
        <v>2.0895113203212344E-3</v>
      </c>
      <c r="D295" s="31">
        <v>2107.7800000000002</v>
      </c>
      <c r="E295" s="28">
        <f t="shared" si="8"/>
        <v>-4.5489372363725104E-3</v>
      </c>
      <c r="J295" s="30">
        <v>43684</v>
      </c>
      <c r="K295" s="28">
        <v>50.487473000000001</v>
      </c>
      <c r="L295" s="28">
        <f t="shared" si="9"/>
        <v>5.8986922098340083E-2</v>
      </c>
      <c r="M295" s="32">
        <v>2926.32</v>
      </c>
      <c r="N295" s="28">
        <f t="shared" si="9"/>
        <v>1.5340972235787925E-2</v>
      </c>
    </row>
    <row r="296" spans="1:14">
      <c r="A296" s="30">
        <v>42067</v>
      </c>
      <c r="B296" s="28">
        <v>28.842082999999999</v>
      </c>
      <c r="C296" s="28">
        <f t="shared" si="8"/>
        <v>-6.3591658587885775E-3</v>
      </c>
      <c r="D296" s="31">
        <v>2098.5300000000002</v>
      </c>
      <c r="E296" s="28">
        <f t="shared" si="8"/>
        <v>-4.3981612914209805E-3</v>
      </c>
      <c r="J296" s="30">
        <v>43691</v>
      </c>
      <c r="K296" s="28">
        <v>51.016399</v>
      </c>
      <c r="L296" s="28">
        <f t="shared" si="9"/>
        <v>1.0421883954576886E-2</v>
      </c>
      <c r="M296" s="32">
        <v>2900.51</v>
      </c>
      <c r="N296" s="28">
        <f t="shared" si="9"/>
        <v>-8.8590773385089396E-3</v>
      </c>
    </row>
    <row r="297" spans="1:14">
      <c r="A297" s="30">
        <v>42068</v>
      </c>
      <c r="B297" s="28">
        <v>28.364153000000002</v>
      </c>
      <c r="C297" s="28">
        <f t="shared" si="8"/>
        <v>-1.670940629465174E-2</v>
      </c>
      <c r="D297" s="31">
        <v>2101.04</v>
      </c>
      <c r="E297" s="28">
        <f t="shared" si="8"/>
        <v>1.1953606197183842E-3</v>
      </c>
      <c r="J297" s="30">
        <v>43698</v>
      </c>
      <c r="K297" s="28">
        <v>49.512787000000003</v>
      </c>
      <c r="L297" s="28">
        <f t="shared" si="9"/>
        <v>-2.9916170610860306E-2</v>
      </c>
      <c r="M297" s="32">
        <v>2869.16</v>
      </c>
      <c r="N297" s="28">
        <f t="shared" si="9"/>
        <v>-1.086727959477971E-2</v>
      </c>
    </row>
    <row r="298" spans="1:14">
      <c r="A298" s="30">
        <v>42069</v>
      </c>
      <c r="B298" s="28">
        <v>28.406787999999999</v>
      </c>
      <c r="C298" s="28">
        <f t="shared" si="8"/>
        <v>1.5020011035364873E-3</v>
      </c>
      <c r="D298" s="31">
        <v>2071.2600000000002</v>
      </c>
      <c r="E298" s="28">
        <f t="shared" si="8"/>
        <v>-1.4275342485307393E-2</v>
      </c>
      <c r="J298" s="30">
        <v>43705</v>
      </c>
      <c r="K298" s="28">
        <v>49.886265000000002</v>
      </c>
      <c r="L298" s="28">
        <f t="shared" si="9"/>
        <v>7.5147549208325415E-3</v>
      </c>
      <c r="M298" s="32">
        <v>2906.27</v>
      </c>
      <c r="N298" s="28">
        <f t="shared" si="9"/>
        <v>1.2851168045587209E-2</v>
      </c>
    </row>
    <row r="299" spans="1:14">
      <c r="A299" s="30">
        <v>42072</v>
      </c>
      <c r="B299" s="28">
        <v>28.527958000000002</v>
      </c>
      <c r="C299" s="28">
        <f t="shared" si="8"/>
        <v>4.2564581895476929E-3</v>
      </c>
      <c r="D299" s="31">
        <v>2079.4299999999998</v>
      </c>
      <c r="E299" s="28">
        <f t="shared" si="8"/>
        <v>3.9366999468925627E-3</v>
      </c>
      <c r="J299" s="30">
        <v>43712</v>
      </c>
      <c r="K299" s="28">
        <v>52.55397</v>
      </c>
      <c r="L299" s="28">
        <f t="shared" si="9"/>
        <v>5.2094927199324507E-2</v>
      </c>
      <c r="M299" s="32">
        <v>2979.39</v>
      </c>
      <c r="N299" s="28">
        <f t="shared" si="9"/>
        <v>2.4848109526963057E-2</v>
      </c>
    </row>
    <row r="300" spans="1:14">
      <c r="A300" s="30">
        <v>42073</v>
      </c>
      <c r="B300" s="28">
        <v>27.937823999999999</v>
      </c>
      <c r="C300" s="28">
        <f t="shared" si="8"/>
        <v>-2.0903119259923955E-2</v>
      </c>
      <c r="D300" s="31">
        <v>2044.16</v>
      </c>
      <c r="E300" s="28">
        <f t="shared" si="8"/>
        <v>-1.7106870531886451E-2</v>
      </c>
      <c r="J300" s="30">
        <v>43719</v>
      </c>
      <c r="K300" s="28">
        <v>53.524051999999998</v>
      </c>
      <c r="L300" s="28">
        <f t="shared" si="9"/>
        <v>1.8290481401638477E-2</v>
      </c>
      <c r="M300" s="32">
        <v>3005.7</v>
      </c>
      <c r="N300" s="28">
        <f t="shared" si="9"/>
        <v>8.7919043739462747E-3</v>
      </c>
    </row>
    <row r="301" spans="1:14">
      <c r="A301" s="30">
        <v>42074</v>
      </c>
      <c r="B301" s="28">
        <v>27.428477999999998</v>
      </c>
      <c r="C301" s="28">
        <f t="shared" si="8"/>
        <v>-1.8399652905308608E-2</v>
      </c>
      <c r="D301" s="31">
        <v>2040.24</v>
      </c>
      <c r="E301" s="28">
        <f t="shared" si="8"/>
        <v>-1.9194991693251124E-3</v>
      </c>
      <c r="J301" s="30">
        <v>43726</v>
      </c>
      <c r="K301" s="28">
        <v>52.791645000000003</v>
      </c>
      <c r="L301" s="28">
        <f t="shared" si="9"/>
        <v>-1.3778183414263848E-2</v>
      </c>
      <c r="M301" s="32">
        <v>2966.6</v>
      </c>
      <c r="N301" s="28">
        <f t="shared" si="9"/>
        <v>-1.3093970043814988E-2</v>
      </c>
    </row>
    <row r="302" spans="1:14">
      <c r="A302" s="30">
        <v>42075</v>
      </c>
      <c r="B302" s="28">
        <v>27.924364000000001</v>
      </c>
      <c r="C302" s="28">
        <f t="shared" si="8"/>
        <v>1.7917752688278624E-2</v>
      </c>
      <c r="D302" s="31">
        <v>2065.9499999999998</v>
      </c>
      <c r="E302" s="28">
        <f t="shared" si="8"/>
        <v>1.2522721054237218E-2</v>
      </c>
      <c r="J302" s="30">
        <v>43733</v>
      </c>
      <c r="K302" s="28">
        <v>54.467457000000003</v>
      </c>
      <c r="L302" s="28">
        <f t="shared" si="9"/>
        <v>3.1250464501636446E-2</v>
      </c>
      <c r="M302" s="32">
        <v>2940.25</v>
      </c>
      <c r="N302" s="28">
        <f t="shared" si="9"/>
        <v>-8.9219041583660109E-3</v>
      </c>
    </row>
    <row r="303" spans="1:14">
      <c r="A303" s="30">
        <v>42076</v>
      </c>
      <c r="B303" s="28">
        <v>27.731392</v>
      </c>
      <c r="C303" s="28">
        <f t="shared" si="8"/>
        <v>-6.9345126960067421E-3</v>
      </c>
      <c r="D303" s="31">
        <v>2053.4</v>
      </c>
      <c r="E303" s="28">
        <f t="shared" si="8"/>
        <v>-6.0932131665859804E-3</v>
      </c>
      <c r="J303" s="30">
        <v>43740</v>
      </c>
      <c r="K303" s="28">
        <v>54.421371000000001</v>
      </c>
      <c r="L303" s="28">
        <f t="shared" si="9"/>
        <v>-8.4647807490067454E-4</v>
      </c>
      <c r="M303" s="32">
        <v>2893.06</v>
      </c>
      <c r="N303" s="28">
        <f t="shared" si="9"/>
        <v>-1.6179846253518558E-2</v>
      </c>
    </row>
    <row r="304" spans="1:14">
      <c r="A304" s="30">
        <v>42079</v>
      </c>
      <c r="B304" s="28">
        <v>28.036557999999999</v>
      </c>
      <c r="C304" s="28">
        <f t="shared" si="8"/>
        <v>1.0944244712958184E-2</v>
      </c>
      <c r="D304" s="31">
        <v>2081.19</v>
      </c>
      <c r="E304" s="28">
        <f t="shared" si="8"/>
        <v>1.3442889619502027E-2</v>
      </c>
      <c r="J304" s="30">
        <v>43747</v>
      </c>
      <c r="K304" s="28">
        <v>57.069687000000002</v>
      </c>
      <c r="L304" s="28">
        <f t="shared" si="9"/>
        <v>4.7516174059314548E-2</v>
      </c>
      <c r="M304" s="32">
        <v>2995.68</v>
      </c>
      <c r="N304" s="28">
        <f t="shared" si="9"/>
        <v>3.48564853762151E-2</v>
      </c>
    </row>
    <row r="305" spans="1:14">
      <c r="A305" s="30">
        <v>42080</v>
      </c>
      <c r="B305" s="28">
        <v>28.505517999999999</v>
      </c>
      <c r="C305" s="28">
        <f t="shared" si="8"/>
        <v>1.6588381147017082E-2</v>
      </c>
      <c r="D305" s="31">
        <v>2074.2800000000002</v>
      </c>
      <c r="E305" s="28">
        <f t="shared" si="8"/>
        <v>-3.3257399856237396E-3</v>
      </c>
      <c r="J305" s="30">
        <v>43754</v>
      </c>
      <c r="K305" s="28">
        <v>58.194980999999999</v>
      </c>
      <c r="L305" s="28">
        <f t="shared" si="9"/>
        <v>1.9526013864507842E-2</v>
      </c>
      <c r="M305" s="32">
        <v>2995.99</v>
      </c>
      <c r="N305" s="28">
        <f t="shared" si="9"/>
        <v>1.0347699398543102E-4</v>
      </c>
    </row>
    <row r="306" spans="1:14">
      <c r="A306" s="30">
        <v>42081</v>
      </c>
      <c r="B306" s="28">
        <v>28.826387</v>
      </c>
      <c r="C306" s="28">
        <f t="shared" si="8"/>
        <v>1.1193500381742624E-2</v>
      </c>
      <c r="D306" s="31">
        <v>2099.5</v>
      </c>
      <c r="E306" s="28">
        <f t="shared" si="8"/>
        <v>1.2085115625505266E-2</v>
      </c>
      <c r="J306" s="30">
        <v>43761</v>
      </c>
      <c r="K306" s="28">
        <v>59.002571000000003</v>
      </c>
      <c r="L306" s="28">
        <f t="shared" si="9"/>
        <v>1.3781905322131487E-2</v>
      </c>
      <c r="M306" s="32">
        <v>3036.89</v>
      </c>
      <c r="N306" s="28">
        <f t="shared" si="9"/>
        <v>1.3559237588060437E-2</v>
      </c>
    </row>
    <row r="307" spans="1:14">
      <c r="A307" s="30">
        <v>42082</v>
      </c>
      <c r="B307" s="28">
        <v>28.608736</v>
      </c>
      <c r="C307" s="28">
        <f t="shared" si="8"/>
        <v>-7.579057221137284E-3</v>
      </c>
      <c r="D307" s="31">
        <v>2089.27</v>
      </c>
      <c r="E307" s="28">
        <f t="shared" si="8"/>
        <v>-4.8844984753110381E-3</v>
      </c>
      <c r="J307" s="30">
        <v>43768</v>
      </c>
      <c r="K307" s="28">
        <v>62.359043</v>
      </c>
      <c r="L307" s="28">
        <f t="shared" si="9"/>
        <v>5.5327678468449208E-2</v>
      </c>
      <c r="M307" s="32">
        <v>3074.62</v>
      </c>
      <c r="N307" s="28">
        <f t="shared" si="9"/>
        <v>1.2347350932661611E-2</v>
      </c>
    </row>
    <row r="308" spans="1:14">
      <c r="A308" s="30">
        <v>42083</v>
      </c>
      <c r="B308" s="28">
        <v>28.24972</v>
      </c>
      <c r="C308" s="28">
        <f t="shared" si="8"/>
        <v>-1.2628579690613593E-2</v>
      </c>
      <c r="D308" s="31">
        <v>2108.1</v>
      </c>
      <c r="E308" s="28">
        <f t="shared" si="8"/>
        <v>8.9723452173247273E-3</v>
      </c>
      <c r="J308" s="30">
        <v>43775</v>
      </c>
      <c r="K308" s="28">
        <v>63.530403</v>
      </c>
      <c r="L308" s="28">
        <f t="shared" si="9"/>
        <v>1.8609881022168095E-2</v>
      </c>
      <c r="M308" s="32">
        <v>3091.84</v>
      </c>
      <c r="N308" s="28">
        <f t="shared" si="9"/>
        <v>5.5850665574371074E-3</v>
      </c>
    </row>
    <row r="309" spans="1:14">
      <c r="A309" s="30">
        <v>42086</v>
      </c>
      <c r="B309" s="28">
        <v>28.543655000000001</v>
      </c>
      <c r="C309" s="28">
        <f t="shared" si="8"/>
        <v>1.0351123682510507E-2</v>
      </c>
      <c r="D309" s="31">
        <v>2104.42</v>
      </c>
      <c r="E309" s="28">
        <f t="shared" si="8"/>
        <v>-1.7471731581735757E-3</v>
      </c>
      <c r="J309" s="30">
        <v>43782</v>
      </c>
      <c r="K309" s="28">
        <v>64.774405999999999</v>
      </c>
      <c r="L309" s="28">
        <f t="shared" si="9"/>
        <v>1.9391977483467743E-2</v>
      </c>
      <c r="M309" s="32">
        <v>3120.18</v>
      </c>
      <c r="N309" s="28">
        <f t="shared" si="9"/>
        <v>9.1243095210958892E-3</v>
      </c>
    </row>
    <row r="310" spans="1:14">
      <c r="A310" s="30">
        <v>42087</v>
      </c>
      <c r="B310" s="28">
        <v>28.426981000000001</v>
      </c>
      <c r="C310" s="28">
        <f t="shared" si="8"/>
        <v>-4.0959403408196505E-3</v>
      </c>
      <c r="D310" s="31">
        <v>2091.5</v>
      </c>
      <c r="E310" s="28">
        <f t="shared" si="8"/>
        <v>-6.1583828258348948E-3</v>
      </c>
      <c r="J310" s="30">
        <v>43789</v>
      </c>
      <c r="K310" s="28">
        <v>64.287909999999997</v>
      </c>
      <c r="L310" s="28">
        <f t="shared" si="9"/>
        <v>-7.5389675202529143E-3</v>
      </c>
      <c r="M310" s="32">
        <v>3140.52</v>
      </c>
      <c r="N310" s="28">
        <f t="shared" si="9"/>
        <v>6.4976988397472237E-3</v>
      </c>
    </row>
    <row r="311" spans="1:14">
      <c r="A311" s="30">
        <v>42088</v>
      </c>
      <c r="B311" s="28">
        <v>27.684277000000002</v>
      </c>
      <c r="C311" s="28">
        <f t="shared" si="8"/>
        <v>-2.6474094671525523E-2</v>
      </c>
      <c r="D311" s="31">
        <v>2061.0500000000002</v>
      </c>
      <c r="E311" s="28">
        <f t="shared" si="8"/>
        <v>-1.4665950218136469E-2</v>
      </c>
      <c r="J311" s="30">
        <v>43796</v>
      </c>
      <c r="K311" s="28">
        <v>63.110599999999998</v>
      </c>
      <c r="L311" s="28">
        <f t="shared" si="9"/>
        <v>-1.8482845920731069E-2</v>
      </c>
      <c r="M311" s="32">
        <v>3093.2</v>
      </c>
      <c r="N311" s="28">
        <f t="shared" si="9"/>
        <v>-1.5182237551950048E-2</v>
      </c>
    </row>
    <row r="312" spans="1:14">
      <c r="A312" s="30">
        <v>42089</v>
      </c>
      <c r="B312" s="28">
        <v>27.877244999999998</v>
      </c>
      <c r="C312" s="28">
        <f t="shared" si="8"/>
        <v>6.9461299447835323E-3</v>
      </c>
      <c r="D312" s="31">
        <v>2056.15</v>
      </c>
      <c r="E312" s="28">
        <f t="shared" si="8"/>
        <v>-2.380259551864185E-3</v>
      </c>
      <c r="J312" s="30">
        <v>43803</v>
      </c>
      <c r="K312" s="28">
        <v>65.307120999999995</v>
      </c>
      <c r="L312" s="28">
        <f t="shared" si="9"/>
        <v>3.4212338112206739E-2</v>
      </c>
      <c r="M312" s="32">
        <v>3132.52</v>
      </c>
      <c r="N312" s="28">
        <f t="shared" si="9"/>
        <v>1.2631638691736922E-2</v>
      </c>
    </row>
    <row r="313" spans="1:14">
      <c r="A313" s="30">
        <v>42090</v>
      </c>
      <c r="B313" s="28">
        <v>27.655104000000001</v>
      </c>
      <c r="C313" s="28">
        <f t="shared" si="8"/>
        <v>-8.0004605923354594E-3</v>
      </c>
      <c r="D313" s="31">
        <v>2061.02</v>
      </c>
      <c r="E313" s="28">
        <f t="shared" si="8"/>
        <v>2.3657037582941712E-3</v>
      </c>
      <c r="J313" s="30">
        <v>43810</v>
      </c>
      <c r="K313" s="28">
        <v>68.209068000000002</v>
      </c>
      <c r="L313" s="28">
        <f t="shared" si="9"/>
        <v>4.3476437014806746E-2</v>
      </c>
      <c r="M313" s="32">
        <v>3192.52</v>
      </c>
      <c r="N313" s="28">
        <f t="shared" si="9"/>
        <v>1.8972781143304543E-2</v>
      </c>
    </row>
    <row r="314" spans="1:14">
      <c r="A314" s="30">
        <v>42093</v>
      </c>
      <c r="B314" s="28">
        <v>28.355183</v>
      </c>
      <c r="C314" s="28">
        <f t="shared" si="8"/>
        <v>2.4999531271849045E-2</v>
      </c>
      <c r="D314" s="31">
        <v>2086.2399999999998</v>
      </c>
      <c r="E314" s="28">
        <f t="shared" si="8"/>
        <v>1.2162396804615399E-2</v>
      </c>
      <c r="J314" s="30">
        <v>43817</v>
      </c>
      <c r="K314" s="28">
        <v>69.147994999999995</v>
      </c>
      <c r="L314" s="28">
        <f t="shared" si="9"/>
        <v>1.3671544864263946E-2</v>
      </c>
      <c r="M314" s="32">
        <v>3223.38</v>
      </c>
      <c r="N314" s="28">
        <f t="shared" si="9"/>
        <v>9.6199248707942442E-3</v>
      </c>
    </row>
    <row r="315" spans="1:14">
      <c r="A315" s="30">
        <v>42094</v>
      </c>
      <c r="B315" s="28">
        <v>27.919874</v>
      </c>
      <c r="C315" s="28">
        <f t="shared" si="8"/>
        <v>-1.5471070343362505E-2</v>
      </c>
      <c r="D315" s="31">
        <v>2067.89</v>
      </c>
      <c r="E315" s="28">
        <f t="shared" si="8"/>
        <v>-8.8346389509214723E-3</v>
      </c>
      <c r="J315" s="30">
        <v>43824</v>
      </c>
      <c r="K315" s="28">
        <v>71.429648999999998</v>
      </c>
      <c r="L315" s="28">
        <f t="shared" si="9"/>
        <v>3.2463972501219525E-2</v>
      </c>
      <c r="M315" s="32">
        <v>3230.78</v>
      </c>
      <c r="N315" s="28">
        <f t="shared" si="9"/>
        <v>2.2930956910304076E-3</v>
      </c>
    </row>
    <row r="316" spans="1:14">
      <c r="A316" s="30">
        <v>42095</v>
      </c>
      <c r="B316" s="28">
        <v>27.879484000000001</v>
      </c>
      <c r="C316" s="28">
        <f t="shared" si="8"/>
        <v>-1.4476871599169612E-3</v>
      </c>
      <c r="D316" s="31">
        <v>2059.69</v>
      </c>
      <c r="E316" s="28">
        <f t="shared" si="8"/>
        <v>-3.9732777015764314E-3</v>
      </c>
      <c r="J316" s="30">
        <v>43831</v>
      </c>
      <c r="K316" s="28">
        <v>72.582656999999998</v>
      </c>
      <c r="L316" s="28">
        <f t="shared" si="9"/>
        <v>1.6012973742745129E-2</v>
      </c>
      <c r="M316" s="32">
        <v>3237.18</v>
      </c>
      <c r="N316" s="28">
        <f t="shared" si="9"/>
        <v>1.9789862920423927E-3</v>
      </c>
    </row>
    <row r="317" spans="1:14">
      <c r="A317" s="30">
        <v>42096</v>
      </c>
      <c r="B317" s="28">
        <v>28.119579000000002</v>
      </c>
      <c r="C317" s="28">
        <f t="shared" si="8"/>
        <v>8.5750174498027583E-3</v>
      </c>
      <c r="D317" s="31">
        <v>2066.96</v>
      </c>
      <c r="E317" s="28">
        <f t="shared" si="8"/>
        <v>3.5234427543923289E-3</v>
      </c>
      <c r="J317" s="30">
        <v>43838</v>
      </c>
      <c r="K317" s="28">
        <v>76.058655000000002</v>
      </c>
      <c r="L317" s="28">
        <f t="shared" si="9"/>
        <v>4.6778809940093237E-2</v>
      </c>
      <c r="M317" s="32">
        <v>3283.15</v>
      </c>
      <c r="N317" s="28">
        <f t="shared" si="9"/>
        <v>1.4100746951809576E-2</v>
      </c>
    </row>
    <row r="318" spans="1:14">
      <c r="A318" s="30">
        <v>42100</v>
      </c>
      <c r="B318" s="28">
        <v>28.575081000000001</v>
      </c>
      <c r="C318" s="28">
        <f t="shared" si="8"/>
        <v>1.6068949042634471E-2</v>
      </c>
      <c r="D318" s="31">
        <v>2080.62</v>
      </c>
      <c r="E318" s="28">
        <f t="shared" si="8"/>
        <v>6.586997425284128E-3</v>
      </c>
      <c r="J318" s="30">
        <v>43845</v>
      </c>
      <c r="K318" s="28">
        <v>77.004897999999997</v>
      </c>
      <c r="L318" s="28">
        <f t="shared" si="9"/>
        <v>1.2364211284314702E-2</v>
      </c>
      <c r="M318" s="32">
        <v>3320.79</v>
      </c>
      <c r="N318" s="28">
        <f t="shared" si="9"/>
        <v>1.1399379036123737E-2</v>
      </c>
    </row>
    <row r="319" spans="1:14">
      <c r="A319" s="30">
        <v>42101</v>
      </c>
      <c r="B319" s="28">
        <v>28.274403</v>
      </c>
      <c r="C319" s="28">
        <f t="shared" si="8"/>
        <v>-1.057813660160222E-2</v>
      </c>
      <c r="D319" s="31">
        <v>2076.33</v>
      </c>
      <c r="E319" s="28">
        <f t="shared" si="8"/>
        <v>-2.0640140117176337E-3</v>
      </c>
      <c r="J319" s="30">
        <v>43852</v>
      </c>
      <c r="K319" s="28">
        <v>77.277336000000005</v>
      </c>
      <c r="L319" s="28">
        <f t="shared" si="9"/>
        <v>3.5316870401592435E-3</v>
      </c>
      <c r="M319" s="32">
        <v>3276.24</v>
      </c>
      <c r="N319" s="28">
        <f t="shared" si="9"/>
        <v>-1.3506283048890178E-2</v>
      </c>
    </row>
    <row r="320" spans="1:14">
      <c r="A320" s="30">
        <v>42102</v>
      </c>
      <c r="B320" s="28">
        <v>28.182403999999998</v>
      </c>
      <c r="C320" s="28">
        <f t="shared" si="8"/>
        <v>-3.2590961593769742E-3</v>
      </c>
      <c r="D320" s="31">
        <v>2081.9</v>
      </c>
      <c r="E320" s="28">
        <f t="shared" si="8"/>
        <v>2.6790260911049436E-3</v>
      </c>
      <c r="J320" s="30">
        <v>43859</v>
      </c>
      <c r="K320" s="28">
        <v>77.559494000000001</v>
      </c>
      <c r="L320" s="28">
        <f t="shared" si="9"/>
        <v>3.6445891113376281E-3</v>
      </c>
      <c r="M320" s="32">
        <v>3297.59</v>
      </c>
      <c r="N320" s="28">
        <f t="shared" si="9"/>
        <v>6.4954752602735004E-3</v>
      </c>
    </row>
    <row r="321" spans="1:14">
      <c r="A321" s="30">
        <v>42103</v>
      </c>
      <c r="B321" s="28">
        <v>28.39781</v>
      </c>
      <c r="C321" s="28">
        <f t="shared" si="8"/>
        <v>7.6142179562220264E-3</v>
      </c>
      <c r="D321" s="31">
        <v>2091.1799999999998</v>
      </c>
      <c r="E321" s="28">
        <f t="shared" si="8"/>
        <v>4.4475616557317519E-3</v>
      </c>
      <c r="J321" s="30">
        <v>43866</v>
      </c>
      <c r="K321" s="28">
        <v>77.744361999999995</v>
      </c>
      <c r="L321" s="28">
        <f t="shared" si="9"/>
        <v>2.3807275888527817E-3</v>
      </c>
      <c r="M321" s="32">
        <v>3357.75</v>
      </c>
      <c r="N321" s="28">
        <f t="shared" si="9"/>
        <v>1.8079208166078994E-2</v>
      </c>
    </row>
    <row r="322" spans="1:14">
      <c r="A322" s="30">
        <v>42104</v>
      </c>
      <c r="B322" s="28">
        <v>28.518979999999999</v>
      </c>
      <c r="C322" s="28">
        <f t="shared" si="8"/>
        <v>4.2578010128893036E-3</v>
      </c>
      <c r="D322" s="31">
        <v>2102.06</v>
      </c>
      <c r="E322" s="28">
        <f t="shared" si="8"/>
        <v>5.1893163356351961E-3</v>
      </c>
      <c r="J322" s="30">
        <v>43873</v>
      </c>
      <c r="K322" s="28">
        <v>77.780151000000004</v>
      </c>
      <c r="L322" s="28">
        <f t="shared" si="9"/>
        <v>4.6023613823161299E-4</v>
      </c>
      <c r="M322" s="32">
        <v>3370.29</v>
      </c>
      <c r="N322" s="28">
        <f t="shared" si="9"/>
        <v>3.7276872673031956E-3</v>
      </c>
    </row>
    <row r="323" spans="1:14">
      <c r="A323" s="30">
        <v>42107</v>
      </c>
      <c r="B323" s="28">
        <v>28.462886999999998</v>
      </c>
      <c r="C323" s="28">
        <f t="shared" si="8"/>
        <v>-1.9688023952915421E-3</v>
      </c>
      <c r="D323" s="31">
        <v>2092.4299999999998</v>
      </c>
      <c r="E323" s="28">
        <f t="shared" si="8"/>
        <v>-4.5917462766684588E-3</v>
      </c>
      <c r="J323" s="30">
        <v>43880</v>
      </c>
      <c r="K323" s="28">
        <v>70.241080999999994</v>
      </c>
      <c r="L323" s="28">
        <f t="shared" si="9"/>
        <v>-0.10195293079926933</v>
      </c>
      <c r="M323" s="32">
        <v>3128.21</v>
      </c>
      <c r="N323" s="28">
        <f t="shared" si="9"/>
        <v>-7.4537838094904177E-2</v>
      </c>
    </row>
    <row r="324" spans="1:14">
      <c r="A324" s="30">
        <v>42108</v>
      </c>
      <c r="B324" s="28">
        <v>28.339473999999999</v>
      </c>
      <c r="C324" s="28">
        <f t="shared" si="8"/>
        <v>-4.3453543838211615E-3</v>
      </c>
      <c r="D324" s="31">
        <v>2095.84</v>
      </c>
      <c r="E324" s="28">
        <f t="shared" si="8"/>
        <v>1.6283576529126241E-3</v>
      </c>
      <c r="J324" s="30">
        <v>43887</v>
      </c>
      <c r="K324" s="28">
        <v>70.543419</v>
      </c>
      <c r="L324" s="28">
        <f t="shared" si="9"/>
        <v>4.2950532875582056E-3</v>
      </c>
      <c r="M324" s="32">
        <v>3003.37</v>
      </c>
      <c r="N324" s="28">
        <f t="shared" si="9"/>
        <v>-4.0725964444787134E-2</v>
      </c>
    </row>
    <row r="325" spans="1:14">
      <c r="A325" s="30">
        <v>42109</v>
      </c>
      <c r="B325" s="28">
        <v>28.447171999999998</v>
      </c>
      <c r="C325" s="28">
        <f t="shared" ref="C325:E388" si="10">LN(B325/B324)</f>
        <v>3.7930794195857064E-3</v>
      </c>
      <c r="D325" s="31">
        <v>2106.63</v>
      </c>
      <c r="E325" s="28">
        <f t="shared" si="10"/>
        <v>5.1350866086935787E-3</v>
      </c>
      <c r="J325" s="30">
        <v>43894</v>
      </c>
      <c r="K325" s="28">
        <v>69.573006000000007</v>
      </c>
      <c r="L325" s="28">
        <f t="shared" ref="L325:N388" si="11">LN(K325/K324)</f>
        <v>-1.3851745305579173E-2</v>
      </c>
      <c r="M325" s="32">
        <v>2882.23</v>
      </c>
      <c r="N325" s="28">
        <f t="shared" si="11"/>
        <v>-4.1170691451141078E-2</v>
      </c>
    </row>
    <row r="326" spans="1:14">
      <c r="A326" s="30">
        <v>42110</v>
      </c>
      <c r="B326" s="28">
        <v>28.310299000000001</v>
      </c>
      <c r="C326" s="28">
        <f t="shared" si="10"/>
        <v>-4.8230924640995931E-3</v>
      </c>
      <c r="D326" s="31">
        <v>2104.9899999999998</v>
      </c>
      <c r="E326" s="28">
        <f t="shared" si="10"/>
        <v>-7.7879774665911791E-4</v>
      </c>
      <c r="J326" s="30">
        <v>43901</v>
      </c>
      <c r="K326" s="28">
        <v>61.653571999999997</v>
      </c>
      <c r="L326" s="28">
        <f t="shared" si="11"/>
        <v>-0.12084547936585346</v>
      </c>
      <c r="M326" s="32">
        <v>2529.19</v>
      </c>
      <c r="N326" s="28">
        <f t="shared" si="11"/>
        <v>-0.13066520670840312</v>
      </c>
    </row>
    <row r="327" spans="1:14">
      <c r="A327" s="30">
        <v>42111</v>
      </c>
      <c r="B327" s="28">
        <v>27.991679999999999</v>
      </c>
      <c r="C327" s="28">
        <f t="shared" si="10"/>
        <v>-1.1318337544656392E-2</v>
      </c>
      <c r="D327" s="31">
        <v>2081.1799999999998</v>
      </c>
      <c r="E327" s="28">
        <f t="shared" si="10"/>
        <v>-1.1375675981876396E-2</v>
      </c>
      <c r="J327" s="30">
        <v>43908</v>
      </c>
      <c r="K327" s="28">
        <v>60.195492000000002</v>
      </c>
      <c r="L327" s="28">
        <f t="shared" si="11"/>
        <v>-2.3933702125757343E-2</v>
      </c>
      <c r="M327" s="32">
        <v>2447.33</v>
      </c>
      <c r="N327" s="28">
        <f t="shared" si="11"/>
        <v>-3.2901458996205633E-2</v>
      </c>
    </row>
    <row r="328" spans="1:14">
      <c r="A328" s="30">
        <v>42114</v>
      </c>
      <c r="B328" s="28">
        <v>28.631167999999999</v>
      </c>
      <c r="C328" s="28">
        <f t="shared" si="10"/>
        <v>2.2588591482946209E-2</v>
      </c>
      <c r="D328" s="31">
        <v>2100.4</v>
      </c>
      <c r="E328" s="28">
        <f t="shared" si="10"/>
        <v>9.1927622342074314E-3</v>
      </c>
      <c r="J328" s="30">
        <v>43915</v>
      </c>
      <c r="K328" s="28">
        <v>62.002239000000003</v>
      </c>
      <c r="L328" s="28">
        <f t="shared" si="11"/>
        <v>2.9573031506342932E-2</v>
      </c>
      <c r="M328" s="32">
        <v>2584.59</v>
      </c>
      <c r="N328" s="28">
        <f t="shared" si="11"/>
        <v>5.4569253651910267E-2</v>
      </c>
    </row>
    <row r="329" spans="1:14">
      <c r="A329" s="30">
        <v>42115</v>
      </c>
      <c r="B329" s="28">
        <v>28.476344999999998</v>
      </c>
      <c r="C329" s="28">
        <f t="shared" si="10"/>
        <v>-5.4221720114308357E-3</v>
      </c>
      <c r="D329" s="31">
        <v>2097.29</v>
      </c>
      <c r="E329" s="28">
        <f t="shared" si="10"/>
        <v>-1.4817676241149391E-3</v>
      </c>
      <c r="J329" s="30">
        <v>43922</v>
      </c>
      <c r="K329" s="28">
        <v>63.255504999999999</v>
      </c>
      <c r="L329" s="28">
        <f t="shared" si="11"/>
        <v>2.0011662097114281E-2</v>
      </c>
      <c r="M329" s="32">
        <v>2659.41</v>
      </c>
      <c r="N329" s="28">
        <f t="shared" si="11"/>
        <v>2.8537405649251051E-2</v>
      </c>
    </row>
    <row r="330" spans="1:14">
      <c r="A330" s="30">
        <v>42116</v>
      </c>
      <c r="B330" s="28">
        <v>28.860029000000001</v>
      </c>
      <c r="C330" s="28">
        <f t="shared" si="10"/>
        <v>1.3383815562334506E-2</v>
      </c>
      <c r="D330" s="31">
        <v>2107.96</v>
      </c>
      <c r="E330" s="28">
        <f t="shared" si="10"/>
        <v>5.0746200095614369E-3</v>
      </c>
      <c r="J330" s="30">
        <v>43929</v>
      </c>
      <c r="K330" s="28">
        <v>69.989929000000004</v>
      </c>
      <c r="L330" s="28">
        <f t="shared" si="11"/>
        <v>0.10116920087692442</v>
      </c>
      <c r="M330" s="32">
        <v>2846.06</v>
      </c>
      <c r="N330" s="28">
        <f t="shared" si="11"/>
        <v>6.783128798602335E-2</v>
      </c>
    </row>
    <row r="331" spans="1:14">
      <c r="A331" s="30">
        <v>42117</v>
      </c>
      <c r="B331" s="28">
        <v>29.095635999999999</v>
      </c>
      <c r="C331" s="28">
        <f t="shared" si="10"/>
        <v>8.1306390995127421E-3</v>
      </c>
      <c r="D331" s="31">
        <v>2112.9299999999998</v>
      </c>
      <c r="E331" s="28">
        <f t="shared" si="10"/>
        <v>2.3549546644853884E-3</v>
      </c>
      <c r="J331" s="30">
        <v>43936</v>
      </c>
      <c r="K331" s="28">
        <v>65.435303000000005</v>
      </c>
      <c r="L331" s="28">
        <f t="shared" si="11"/>
        <v>-6.7289446224177624E-2</v>
      </c>
      <c r="M331" s="32">
        <v>2736.56</v>
      </c>
      <c r="N331" s="28">
        <f t="shared" si="11"/>
        <v>-3.9233924486975484E-2</v>
      </c>
    </row>
    <row r="332" spans="1:14">
      <c r="A332" s="30">
        <v>42118</v>
      </c>
      <c r="B332" s="28">
        <v>29.232514999999999</v>
      </c>
      <c r="C332" s="28">
        <f t="shared" si="10"/>
        <v>4.6934198639792995E-3</v>
      </c>
      <c r="D332" s="31">
        <v>2117.69</v>
      </c>
      <c r="E332" s="28">
        <f t="shared" si="10"/>
        <v>2.2502621405813723E-3</v>
      </c>
      <c r="J332" s="30">
        <v>43943</v>
      </c>
      <c r="K332" s="28">
        <v>67.924744000000004</v>
      </c>
      <c r="L332" s="28">
        <f t="shared" si="11"/>
        <v>3.7338472396469966E-2</v>
      </c>
      <c r="M332" s="32">
        <v>2863.39</v>
      </c>
      <c r="N332" s="28">
        <f t="shared" si="11"/>
        <v>4.5304580407123214E-2</v>
      </c>
    </row>
    <row r="333" spans="1:14">
      <c r="A333" s="30">
        <v>42121</v>
      </c>
      <c r="B333" s="28">
        <v>29.764299000000001</v>
      </c>
      <c r="C333" s="28">
        <f t="shared" si="10"/>
        <v>1.8028038017623333E-2</v>
      </c>
      <c r="D333" s="31">
        <v>2108.92</v>
      </c>
      <c r="E333" s="28">
        <f t="shared" si="10"/>
        <v>-4.1499038644162989E-3</v>
      </c>
      <c r="J333" s="30">
        <v>43950</v>
      </c>
      <c r="K333" s="28">
        <v>72.552536000000003</v>
      </c>
      <c r="L333" s="28">
        <f t="shared" si="11"/>
        <v>6.5910547479993073E-2</v>
      </c>
      <c r="M333" s="32">
        <v>2868.44</v>
      </c>
      <c r="N333" s="28">
        <f t="shared" si="11"/>
        <v>1.7620903992867304E-3</v>
      </c>
    </row>
    <row r="334" spans="1:14">
      <c r="A334" s="30">
        <v>42122</v>
      </c>
      <c r="B334" s="28">
        <v>29.295341000000001</v>
      </c>
      <c r="C334" s="28">
        <f t="shared" si="10"/>
        <v>-1.5881162036694998E-2</v>
      </c>
      <c r="D334" s="31">
        <v>2114.7600000000002</v>
      </c>
      <c r="E334" s="28">
        <f t="shared" si="10"/>
        <v>2.7653627744773542E-3</v>
      </c>
      <c r="J334" s="30">
        <v>43957</v>
      </c>
      <c r="K334" s="28">
        <v>75.929526999999993</v>
      </c>
      <c r="L334" s="28">
        <f t="shared" si="11"/>
        <v>4.5494699861317371E-2</v>
      </c>
      <c r="M334" s="32">
        <v>2870.12</v>
      </c>
      <c r="N334" s="28">
        <f t="shared" si="11"/>
        <v>5.8551275859987525E-4</v>
      </c>
    </row>
    <row r="335" spans="1:14">
      <c r="A335" s="30">
        <v>42123</v>
      </c>
      <c r="B335" s="28">
        <v>28.864522999999998</v>
      </c>
      <c r="C335" s="28">
        <f t="shared" si="10"/>
        <v>-1.4815229967824979E-2</v>
      </c>
      <c r="D335" s="31">
        <v>2106.85</v>
      </c>
      <c r="E335" s="28">
        <f t="shared" si="10"/>
        <v>-3.7473898615125326E-3</v>
      </c>
      <c r="J335" s="30">
        <v>43964</v>
      </c>
      <c r="K335" s="28">
        <v>76.558014</v>
      </c>
      <c r="L335" s="28">
        <f t="shared" si="11"/>
        <v>8.2431725854649595E-3</v>
      </c>
      <c r="M335" s="32">
        <v>2922.94</v>
      </c>
      <c r="N335" s="28">
        <f t="shared" si="11"/>
        <v>1.8236118318331572E-2</v>
      </c>
    </row>
    <row r="336" spans="1:14">
      <c r="A336" s="30">
        <v>42124</v>
      </c>
      <c r="B336" s="28">
        <v>28.081429</v>
      </c>
      <c r="C336" s="28">
        <f t="shared" si="10"/>
        <v>-2.750479499668787E-2</v>
      </c>
      <c r="D336" s="31">
        <v>2085.5100000000002</v>
      </c>
      <c r="E336" s="28">
        <f t="shared" si="10"/>
        <v>-1.0180511364075624E-2</v>
      </c>
      <c r="J336" s="30">
        <v>43971</v>
      </c>
      <c r="K336" s="28">
        <v>77.435715000000002</v>
      </c>
      <c r="L336" s="28">
        <f t="shared" si="11"/>
        <v>1.1399301906860311E-2</v>
      </c>
      <c r="M336" s="32">
        <v>2991.77</v>
      </c>
      <c r="N336" s="28">
        <f t="shared" si="11"/>
        <v>2.3275226437239224E-2</v>
      </c>
    </row>
    <row r="337" spans="1:14">
      <c r="A337" s="30">
        <v>42125</v>
      </c>
      <c r="B337" s="28">
        <v>28.934086000000001</v>
      </c>
      <c r="C337" s="28">
        <f t="shared" si="10"/>
        <v>2.9911878308593338E-2</v>
      </c>
      <c r="D337" s="31">
        <v>2108.29</v>
      </c>
      <c r="E337" s="28">
        <f t="shared" si="10"/>
        <v>1.0863762718014008E-2</v>
      </c>
      <c r="J337" s="30">
        <v>43978</v>
      </c>
      <c r="K337" s="28">
        <v>79.051749999999998</v>
      </c>
      <c r="L337" s="28">
        <f t="shared" si="11"/>
        <v>2.065459302162586E-2</v>
      </c>
      <c r="M337" s="32">
        <v>3080.82</v>
      </c>
      <c r="N337" s="28">
        <f t="shared" si="11"/>
        <v>2.9330609818097347E-2</v>
      </c>
    </row>
    <row r="338" spans="1:14">
      <c r="A338" s="30">
        <v>42128</v>
      </c>
      <c r="B338" s="28">
        <v>28.877993</v>
      </c>
      <c r="C338" s="28">
        <f t="shared" si="10"/>
        <v>-1.9405293347860852E-3</v>
      </c>
      <c r="D338" s="31">
        <v>2114.4899999999998</v>
      </c>
      <c r="E338" s="28">
        <f t="shared" si="10"/>
        <v>2.9364562942421689E-3</v>
      </c>
      <c r="J338" s="30">
        <v>43985</v>
      </c>
      <c r="K338" s="28">
        <v>84.100357000000002</v>
      </c>
      <c r="L338" s="28">
        <f t="shared" si="11"/>
        <v>6.1908110618530313E-2</v>
      </c>
      <c r="M338" s="32">
        <v>3207.18</v>
      </c>
      <c r="N338" s="28">
        <f t="shared" si="11"/>
        <v>4.019625103984989E-2</v>
      </c>
    </row>
    <row r="339" spans="1:14">
      <c r="A339" s="30">
        <v>42129</v>
      </c>
      <c r="B339" s="28">
        <v>28.227281999999999</v>
      </c>
      <c r="C339" s="28">
        <f t="shared" si="10"/>
        <v>-2.2790860072415441E-2</v>
      </c>
      <c r="D339" s="31">
        <v>2089.46</v>
      </c>
      <c r="E339" s="28">
        <f t="shared" si="10"/>
        <v>-1.1907989281938557E-2</v>
      </c>
      <c r="J339" s="30">
        <v>43992</v>
      </c>
      <c r="K339" s="28">
        <v>86.078247000000005</v>
      </c>
      <c r="L339" s="28">
        <f t="shared" si="11"/>
        <v>2.3245919512772953E-2</v>
      </c>
      <c r="M339" s="32">
        <v>3124.74</v>
      </c>
      <c r="N339" s="28">
        <f t="shared" si="11"/>
        <v>-2.6040966630593972E-2</v>
      </c>
    </row>
    <row r="340" spans="1:14">
      <c r="A340" s="30">
        <v>42130</v>
      </c>
      <c r="B340" s="28">
        <v>28.050014000000001</v>
      </c>
      <c r="C340" s="28">
        <f t="shared" si="10"/>
        <v>-6.2998260002091579E-3</v>
      </c>
      <c r="D340" s="31">
        <v>2080.15</v>
      </c>
      <c r="E340" s="28">
        <f t="shared" si="10"/>
        <v>-4.4656528892180703E-3</v>
      </c>
      <c r="J340" s="30">
        <v>43999</v>
      </c>
      <c r="K340" s="28">
        <v>89.611069000000001</v>
      </c>
      <c r="L340" s="28">
        <f t="shared" si="11"/>
        <v>4.0222118867971869E-2</v>
      </c>
      <c r="M340" s="32">
        <v>3131.29</v>
      </c>
      <c r="N340" s="28">
        <f t="shared" si="11"/>
        <v>2.0939804934903034E-3</v>
      </c>
    </row>
    <row r="341" spans="1:14">
      <c r="A341" s="30">
        <v>42131</v>
      </c>
      <c r="B341" s="28">
        <v>28.223514999999999</v>
      </c>
      <c r="C341" s="28">
        <f t="shared" si="10"/>
        <v>6.1663646425035856E-3</v>
      </c>
      <c r="D341" s="31">
        <v>2088</v>
      </c>
      <c r="E341" s="28">
        <f t="shared" si="10"/>
        <v>3.7666635227395196E-3</v>
      </c>
      <c r="J341" s="30">
        <v>44006</v>
      </c>
      <c r="K341" s="28">
        <v>89.188102999999998</v>
      </c>
      <c r="L341" s="28">
        <f t="shared" si="11"/>
        <v>-4.731194045789376E-3</v>
      </c>
      <c r="M341" s="32">
        <v>3100.29</v>
      </c>
      <c r="N341" s="28">
        <f t="shared" si="11"/>
        <v>-9.949404717723211E-3</v>
      </c>
    </row>
    <row r="342" spans="1:14">
      <c r="A342" s="30">
        <v>42132</v>
      </c>
      <c r="B342" s="28">
        <v>28.755272000000001</v>
      </c>
      <c r="C342" s="28">
        <f t="shared" si="10"/>
        <v>1.8665628625643263E-2</v>
      </c>
      <c r="D342" s="31">
        <v>2116.1</v>
      </c>
      <c r="E342" s="28">
        <f t="shared" si="10"/>
        <v>1.336810183819619E-2</v>
      </c>
      <c r="J342" s="30">
        <v>44013</v>
      </c>
      <c r="K342" s="28">
        <v>91.117096000000004</v>
      </c>
      <c r="L342" s="28">
        <f t="shared" si="11"/>
        <v>2.1397792318267835E-2</v>
      </c>
      <c r="M342" s="32">
        <v>3145.32</v>
      </c>
      <c r="N342" s="28">
        <f t="shared" si="11"/>
        <v>1.4419978281156477E-2</v>
      </c>
    </row>
    <row r="343" spans="1:14">
      <c r="A343" s="30">
        <v>42135</v>
      </c>
      <c r="B343" s="28">
        <v>28.462347000000001</v>
      </c>
      <c r="C343" s="28">
        <f t="shared" si="10"/>
        <v>-1.0239068464123221E-2</v>
      </c>
      <c r="D343" s="31">
        <v>2105.33</v>
      </c>
      <c r="E343" s="28">
        <f t="shared" si="10"/>
        <v>-5.102547415113407E-3</v>
      </c>
      <c r="J343" s="30">
        <v>44020</v>
      </c>
      <c r="K343" s="28">
        <v>94.916381999999999</v>
      </c>
      <c r="L343" s="28">
        <f t="shared" si="11"/>
        <v>4.0850865963039384E-2</v>
      </c>
      <c r="M343" s="32">
        <v>3197.52</v>
      </c>
      <c r="N343" s="28">
        <f t="shared" si="11"/>
        <v>1.6459875553952962E-2</v>
      </c>
    </row>
    <row r="344" spans="1:14">
      <c r="A344" s="30">
        <v>42136</v>
      </c>
      <c r="B344" s="28">
        <v>28.360956000000002</v>
      </c>
      <c r="C344" s="28">
        <f t="shared" si="10"/>
        <v>-3.5686453356332964E-3</v>
      </c>
      <c r="D344" s="31">
        <v>2099.12</v>
      </c>
      <c r="E344" s="28">
        <f t="shared" si="10"/>
        <v>-2.9540151581351707E-3</v>
      </c>
      <c r="J344" s="30">
        <v>44027</v>
      </c>
      <c r="K344" s="28">
        <v>94.860152999999997</v>
      </c>
      <c r="L344" s="28">
        <f t="shared" si="11"/>
        <v>-5.9258118128690531E-4</v>
      </c>
      <c r="M344" s="32">
        <v>3257.3</v>
      </c>
      <c r="N344" s="28">
        <f t="shared" si="11"/>
        <v>1.8523122017405514E-2</v>
      </c>
    </row>
    <row r="345" spans="1:14">
      <c r="A345" s="30">
        <v>42137</v>
      </c>
      <c r="B345" s="28">
        <v>28.392498</v>
      </c>
      <c r="C345" s="28">
        <f t="shared" si="10"/>
        <v>1.1115447968186778E-3</v>
      </c>
      <c r="D345" s="31">
        <v>2098.48</v>
      </c>
      <c r="E345" s="28">
        <f t="shared" si="10"/>
        <v>-3.0493615635559612E-4</v>
      </c>
      <c r="J345" s="30">
        <v>44034</v>
      </c>
      <c r="K345" s="28">
        <v>91.195335</v>
      </c>
      <c r="L345" s="28">
        <f t="shared" si="11"/>
        <v>-3.9399988895137655E-2</v>
      </c>
      <c r="M345" s="32">
        <v>3218.44</v>
      </c>
      <c r="N345" s="28">
        <f t="shared" si="11"/>
        <v>-1.2001861243208473E-2</v>
      </c>
    </row>
    <row r="346" spans="1:14">
      <c r="A346" s="30">
        <v>42138</v>
      </c>
      <c r="B346" s="28">
        <v>29.054936999999999</v>
      </c>
      <c r="C346" s="28">
        <f t="shared" si="10"/>
        <v>2.3063461880696662E-2</v>
      </c>
      <c r="D346" s="31">
        <v>2121.1</v>
      </c>
      <c r="E346" s="28">
        <f t="shared" si="10"/>
        <v>1.0721548914049037E-2</v>
      </c>
      <c r="J346" s="30">
        <v>44041</v>
      </c>
      <c r="K346" s="28">
        <v>107.245766</v>
      </c>
      <c r="L346" s="28">
        <f t="shared" si="11"/>
        <v>0.16211933471715451</v>
      </c>
      <c r="M346" s="32">
        <v>3306.51</v>
      </c>
      <c r="N346" s="28">
        <f t="shared" si="11"/>
        <v>2.6996482361865737E-2</v>
      </c>
    </row>
    <row r="347" spans="1:14">
      <c r="A347" s="30">
        <v>42139</v>
      </c>
      <c r="B347" s="28">
        <v>29.014386999999999</v>
      </c>
      <c r="C347" s="28">
        <f t="shared" si="10"/>
        <v>-1.3966068071017382E-3</v>
      </c>
      <c r="D347" s="31">
        <v>2122.73</v>
      </c>
      <c r="E347" s="28">
        <f t="shared" si="10"/>
        <v>7.6817406925065615E-4</v>
      </c>
      <c r="J347" s="30">
        <v>44048</v>
      </c>
      <c r="K347" s="28">
        <v>106.96215100000001</v>
      </c>
      <c r="L347" s="28">
        <f t="shared" si="11"/>
        <v>-2.6480362602839679E-3</v>
      </c>
      <c r="M347" s="32">
        <v>3333.69</v>
      </c>
      <c r="N347" s="28">
        <f t="shared" si="11"/>
        <v>8.1865461278522907E-3</v>
      </c>
    </row>
    <row r="348" spans="1:14">
      <c r="A348" s="30">
        <v>42142</v>
      </c>
      <c r="B348" s="28">
        <v>29.334343000000001</v>
      </c>
      <c r="C348" s="28">
        <f t="shared" si="10"/>
        <v>1.0967135256152951E-2</v>
      </c>
      <c r="D348" s="31">
        <v>2129.1999999999998</v>
      </c>
      <c r="E348" s="28">
        <f t="shared" si="10"/>
        <v>3.0433262041808752E-3</v>
      </c>
      <c r="J348" s="30">
        <v>44055</v>
      </c>
      <c r="K348" s="28">
        <v>113.216927</v>
      </c>
      <c r="L348" s="28">
        <f t="shared" si="11"/>
        <v>5.6830643479343669E-2</v>
      </c>
      <c r="M348" s="32">
        <v>3389.78</v>
      </c>
      <c r="N348" s="28">
        <f t="shared" si="11"/>
        <v>1.6685223929466825E-2</v>
      </c>
    </row>
    <row r="349" spans="1:14">
      <c r="A349" s="30">
        <v>42143</v>
      </c>
      <c r="B349" s="28">
        <v>29.307300999999999</v>
      </c>
      <c r="C349" s="28">
        <f t="shared" si="10"/>
        <v>-9.2227980227933847E-4</v>
      </c>
      <c r="D349" s="31">
        <v>2127.83</v>
      </c>
      <c r="E349" s="28">
        <f t="shared" si="10"/>
        <v>-6.4364124626619236E-4</v>
      </c>
      <c r="J349" s="30">
        <v>44062</v>
      </c>
      <c r="K349" s="28">
        <v>122.291428</v>
      </c>
      <c r="L349" s="28">
        <f t="shared" si="11"/>
        <v>7.7101263901510966E-2</v>
      </c>
      <c r="M349" s="32">
        <v>3443.62</v>
      </c>
      <c r="N349" s="28">
        <f t="shared" si="11"/>
        <v>1.5758221128964703E-2</v>
      </c>
    </row>
    <row r="350" spans="1:14">
      <c r="A350" s="30">
        <v>42144</v>
      </c>
      <c r="B350" s="28">
        <v>29.305050000000001</v>
      </c>
      <c r="C350" s="28">
        <f t="shared" si="10"/>
        <v>-7.6809749573239283E-5</v>
      </c>
      <c r="D350" s="31">
        <v>2125.85</v>
      </c>
      <c r="E350" s="28">
        <f t="shared" si="10"/>
        <v>-9.3095867249196713E-4</v>
      </c>
      <c r="J350" s="30">
        <v>44069</v>
      </c>
      <c r="K350" s="28">
        <v>131.45654300000001</v>
      </c>
      <c r="L350" s="28">
        <f t="shared" si="11"/>
        <v>7.2269375223247584E-2</v>
      </c>
      <c r="M350" s="32">
        <v>3526.65</v>
      </c>
      <c r="N350" s="28">
        <f t="shared" si="11"/>
        <v>2.382516819268005E-2</v>
      </c>
    </row>
    <row r="351" spans="1:14">
      <c r="A351" s="30">
        <v>42145</v>
      </c>
      <c r="B351" s="28">
        <v>29.604731000000001</v>
      </c>
      <c r="C351" s="28">
        <f t="shared" si="10"/>
        <v>1.0174323519050054E-2</v>
      </c>
      <c r="D351" s="31">
        <v>2130.8200000000002</v>
      </c>
      <c r="E351" s="28">
        <f t="shared" si="10"/>
        <v>2.3351597649989828E-3</v>
      </c>
      <c r="J351" s="30">
        <v>44076</v>
      </c>
      <c r="K351" s="28">
        <v>110.530098</v>
      </c>
      <c r="L351" s="28">
        <f t="shared" si="11"/>
        <v>-0.17338846155761264</v>
      </c>
      <c r="M351" s="32">
        <v>3331.84</v>
      </c>
      <c r="N351" s="28">
        <f t="shared" si="11"/>
        <v>-5.6823707909001764E-2</v>
      </c>
    </row>
    <row r="352" spans="1:14">
      <c r="A352" s="30">
        <v>42146</v>
      </c>
      <c r="B352" s="28">
        <v>29.86384</v>
      </c>
      <c r="C352" s="28">
        <f t="shared" si="10"/>
        <v>8.7142043372450267E-3</v>
      </c>
      <c r="D352" s="31">
        <v>2126.06</v>
      </c>
      <c r="E352" s="28">
        <f t="shared" si="10"/>
        <v>-2.2363806280129898E-3</v>
      </c>
      <c r="J352" s="30">
        <v>44083</v>
      </c>
      <c r="K352" s="28">
        <v>113.194885</v>
      </c>
      <c r="L352" s="28">
        <f t="shared" si="11"/>
        <v>2.382311527623597E-2</v>
      </c>
      <c r="M352" s="32">
        <v>3401.2</v>
      </c>
      <c r="N352" s="28">
        <f t="shared" si="11"/>
        <v>2.060360658554615E-2</v>
      </c>
    </row>
    <row r="353" spans="1:14">
      <c r="A353" s="30">
        <v>42150</v>
      </c>
      <c r="B353" s="28">
        <v>29.205904</v>
      </c>
      <c r="C353" s="28">
        <f t="shared" si="10"/>
        <v>-2.2277503359659671E-2</v>
      </c>
      <c r="D353" s="31">
        <v>2104.1999999999998</v>
      </c>
      <c r="E353" s="28">
        <f t="shared" si="10"/>
        <v>-1.0335154142642595E-2</v>
      </c>
      <c r="J353" s="30">
        <v>44090</v>
      </c>
      <c r="K353" s="28">
        <v>109.54059599999999</v>
      </c>
      <c r="L353" s="28">
        <f t="shared" si="11"/>
        <v>-3.2815758960227384E-2</v>
      </c>
      <c r="M353" s="32">
        <v>3315.57</v>
      </c>
      <c r="N353" s="28">
        <f t="shared" si="11"/>
        <v>-2.5498755971284807E-2</v>
      </c>
    </row>
    <row r="354" spans="1:14">
      <c r="A354" s="30">
        <v>42151</v>
      </c>
      <c r="B354" s="28">
        <v>29.751187999999999</v>
      </c>
      <c r="C354" s="28">
        <f t="shared" si="10"/>
        <v>1.8498183350401355E-2</v>
      </c>
      <c r="D354" s="31">
        <v>2123.48</v>
      </c>
      <c r="E354" s="28">
        <f t="shared" si="10"/>
        <v>9.1209049217876367E-3</v>
      </c>
      <c r="J354" s="30">
        <v>44097</v>
      </c>
      <c r="K354" s="28">
        <v>111.774315</v>
      </c>
      <c r="L354" s="28">
        <f t="shared" si="11"/>
        <v>2.0186573442761976E-2</v>
      </c>
      <c r="M354" s="32">
        <v>3335.47</v>
      </c>
      <c r="N354" s="28">
        <f t="shared" si="11"/>
        <v>5.9840444149697712E-3</v>
      </c>
    </row>
    <row r="355" spans="1:14">
      <c r="A355" s="30">
        <v>42152</v>
      </c>
      <c r="B355" s="28">
        <v>29.692599999999999</v>
      </c>
      <c r="C355" s="28">
        <f t="shared" si="10"/>
        <v>-1.9712074530338335E-3</v>
      </c>
      <c r="D355" s="31">
        <v>2120.79</v>
      </c>
      <c r="E355" s="28">
        <f t="shared" si="10"/>
        <v>-1.2675915340863882E-3</v>
      </c>
      <c r="J355" s="30">
        <v>44104</v>
      </c>
      <c r="K355" s="28">
        <v>110.86320499999999</v>
      </c>
      <c r="L355" s="28">
        <f t="shared" si="11"/>
        <v>-8.1847398072283379E-3</v>
      </c>
      <c r="M355" s="32">
        <v>3360.97</v>
      </c>
      <c r="N355" s="28">
        <f t="shared" si="11"/>
        <v>7.6160238150406595E-3</v>
      </c>
    </row>
    <row r="356" spans="1:14">
      <c r="A356" s="30">
        <v>42153</v>
      </c>
      <c r="B356" s="28">
        <v>29.354617999999999</v>
      </c>
      <c r="C356" s="28">
        <f t="shared" si="10"/>
        <v>-1.1447980198256859E-2</v>
      </c>
      <c r="D356" s="31">
        <v>2107.39</v>
      </c>
      <c r="E356" s="28">
        <f t="shared" si="10"/>
        <v>-6.3384457913584413E-3</v>
      </c>
      <c r="J356" s="30">
        <v>44111</v>
      </c>
      <c r="K356" s="28">
        <v>118.64202899999999</v>
      </c>
      <c r="L356" s="28">
        <f t="shared" si="11"/>
        <v>6.7813745930099451E-2</v>
      </c>
      <c r="M356" s="32">
        <v>3511.93</v>
      </c>
      <c r="N356" s="28">
        <f t="shared" si="11"/>
        <v>4.3936121123135649E-2</v>
      </c>
    </row>
    <row r="357" spans="1:14">
      <c r="A357" s="30">
        <v>42156</v>
      </c>
      <c r="B357" s="28">
        <v>29.413191000000001</v>
      </c>
      <c r="C357" s="28">
        <f t="shared" si="10"/>
        <v>1.9933708740144198E-3</v>
      </c>
      <c r="D357" s="31">
        <v>2111.73</v>
      </c>
      <c r="E357" s="28">
        <f t="shared" si="10"/>
        <v>2.0573017741854285E-3</v>
      </c>
      <c r="J357" s="30">
        <v>44118</v>
      </c>
      <c r="K357" s="28">
        <v>115.124908</v>
      </c>
      <c r="L357" s="28">
        <f t="shared" si="11"/>
        <v>-3.0093104397451956E-2</v>
      </c>
      <c r="M357" s="32">
        <v>3443.12</v>
      </c>
      <c r="N357" s="28">
        <f t="shared" si="11"/>
        <v>-1.9787706836750008E-2</v>
      </c>
    </row>
    <row r="358" spans="1:14">
      <c r="A358" s="30">
        <v>42157</v>
      </c>
      <c r="B358" s="28">
        <v>29.282513000000002</v>
      </c>
      <c r="C358" s="28">
        <f t="shared" si="10"/>
        <v>-4.4527352772201741E-3</v>
      </c>
      <c r="D358" s="31">
        <v>2109.6</v>
      </c>
      <c r="E358" s="28">
        <f t="shared" si="10"/>
        <v>-1.0091607056388198E-3</v>
      </c>
      <c r="J358" s="30">
        <v>44125</v>
      </c>
      <c r="K358" s="28">
        <v>114.23337600000001</v>
      </c>
      <c r="L358" s="28">
        <f t="shared" si="11"/>
        <v>-7.7741817268660767E-3</v>
      </c>
      <c r="M358" s="32">
        <v>3390.68</v>
      </c>
      <c r="N358" s="28">
        <f t="shared" si="11"/>
        <v>-1.5347545827229697E-2</v>
      </c>
    </row>
    <row r="359" spans="1:14">
      <c r="A359" s="30">
        <v>42158</v>
      </c>
      <c r="B359" s="28">
        <v>29.318569</v>
      </c>
      <c r="C359" s="28">
        <f t="shared" si="10"/>
        <v>1.230557638846281E-3</v>
      </c>
      <c r="D359" s="31">
        <v>2114.0700000000002</v>
      </c>
      <c r="E359" s="28">
        <f t="shared" si="10"/>
        <v>2.1166434256780875E-3</v>
      </c>
      <c r="J359" s="30">
        <v>44132</v>
      </c>
      <c r="K359" s="28">
        <v>108.19841</v>
      </c>
      <c r="L359" s="28">
        <f t="shared" si="11"/>
        <v>-5.4276842421740419E-2</v>
      </c>
      <c r="M359" s="32">
        <v>3369.16</v>
      </c>
      <c r="N359" s="28">
        <f t="shared" si="11"/>
        <v>-6.3670361133274849E-3</v>
      </c>
    </row>
    <row r="360" spans="1:14">
      <c r="A360" s="30">
        <v>42159</v>
      </c>
      <c r="B360" s="28">
        <v>29.147320000000001</v>
      </c>
      <c r="C360" s="28">
        <f t="shared" si="10"/>
        <v>-5.858099232313372E-3</v>
      </c>
      <c r="D360" s="31">
        <v>2095.84</v>
      </c>
      <c r="E360" s="28">
        <f t="shared" si="10"/>
        <v>-8.6605718154161154E-3</v>
      </c>
      <c r="J360" s="30">
        <v>44139</v>
      </c>
      <c r="K360" s="28">
        <v>113.616158</v>
      </c>
      <c r="L360" s="28">
        <f t="shared" si="11"/>
        <v>4.8859060792808898E-2</v>
      </c>
      <c r="M360" s="32">
        <v>3545.53</v>
      </c>
      <c r="N360" s="28">
        <f t="shared" si="11"/>
        <v>5.1024200022043789E-2</v>
      </c>
    </row>
    <row r="361" spans="1:14">
      <c r="A361" s="30">
        <v>42160</v>
      </c>
      <c r="B361" s="28">
        <v>28.987347</v>
      </c>
      <c r="C361" s="28">
        <f t="shared" si="10"/>
        <v>-5.5035458889000199E-3</v>
      </c>
      <c r="D361" s="31">
        <v>2092.83</v>
      </c>
      <c r="E361" s="28">
        <f t="shared" si="10"/>
        <v>-1.4372106268171129E-3</v>
      </c>
      <c r="J361" s="30">
        <v>44146</v>
      </c>
      <c r="K361" s="28">
        <v>117.168549</v>
      </c>
      <c r="L361" s="28">
        <f t="shared" si="11"/>
        <v>3.0787755799441947E-2</v>
      </c>
      <c r="M361" s="32">
        <v>3609.53</v>
      </c>
      <c r="N361" s="28">
        <f t="shared" si="11"/>
        <v>1.7889914806911732E-2</v>
      </c>
    </row>
    <row r="362" spans="1:14">
      <c r="A362" s="30">
        <v>42163</v>
      </c>
      <c r="B362" s="28">
        <v>28.795832000000001</v>
      </c>
      <c r="C362" s="28">
        <f t="shared" si="10"/>
        <v>-6.6287699841857646E-3</v>
      </c>
      <c r="D362" s="31">
        <v>2079.2800000000002</v>
      </c>
      <c r="E362" s="28">
        <f t="shared" si="10"/>
        <v>-6.4955370983836944E-3</v>
      </c>
      <c r="J362" s="30">
        <v>44153</v>
      </c>
      <c r="K362" s="28">
        <v>113.027069</v>
      </c>
      <c r="L362" s="28">
        <f t="shared" si="11"/>
        <v>-3.5986149189712213E-2</v>
      </c>
      <c r="M362" s="32">
        <v>3635.41</v>
      </c>
      <c r="N362" s="28">
        <f t="shared" si="11"/>
        <v>7.1443269590110627E-3</v>
      </c>
    </row>
    <row r="363" spans="1:14">
      <c r="A363" s="30">
        <v>42164</v>
      </c>
      <c r="B363" s="28">
        <v>28.710204999999998</v>
      </c>
      <c r="C363" s="28">
        <f t="shared" si="10"/>
        <v>-2.978019969717232E-3</v>
      </c>
      <c r="D363" s="31">
        <v>2080.15</v>
      </c>
      <c r="E363" s="28">
        <f t="shared" si="10"/>
        <v>4.1832655565178788E-4</v>
      </c>
      <c r="J363" s="30">
        <v>44160</v>
      </c>
      <c r="K363" s="28">
        <v>120.436584</v>
      </c>
      <c r="L363" s="28">
        <f t="shared" si="11"/>
        <v>6.3496001843390784E-2</v>
      </c>
      <c r="M363" s="32">
        <v>3662.45</v>
      </c>
      <c r="N363" s="28">
        <f t="shared" si="11"/>
        <v>7.4104254508435934E-3</v>
      </c>
    </row>
    <row r="364" spans="1:14">
      <c r="A364" s="30">
        <v>42165</v>
      </c>
      <c r="B364" s="28">
        <v>29.039173000000002</v>
      </c>
      <c r="C364" s="28">
        <f t="shared" si="10"/>
        <v>1.1393077112968431E-2</v>
      </c>
      <c r="D364" s="31">
        <v>2105.1999999999998</v>
      </c>
      <c r="E364" s="28">
        <f t="shared" si="10"/>
        <v>1.1970467999834084E-2</v>
      </c>
      <c r="J364" s="30">
        <v>44167</v>
      </c>
      <c r="K364" s="28">
        <v>122.065697</v>
      </c>
      <c r="L364" s="28">
        <f t="shared" si="11"/>
        <v>1.3436059253066571E-2</v>
      </c>
      <c r="M364" s="32">
        <v>3702.25</v>
      </c>
      <c r="N364" s="28">
        <f t="shared" si="11"/>
        <v>1.0808420562610872E-2</v>
      </c>
    </row>
    <row r="365" spans="1:14">
      <c r="A365" s="30">
        <v>42166</v>
      </c>
      <c r="B365" s="28">
        <v>28.973828999999999</v>
      </c>
      <c r="C365" s="28">
        <f t="shared" si="10"/>
        <v>-2.2527373306459337E-3</v>
      </c>
      <c r="D365" s="31">
        <v>2108.86</v>
      </c>
      <c r="E365" s="28">
        <f t="shared" si="10"/>
        <v>1.7370426241117387E-3</v>
      </c>
      <c r="J365" s="30">
        <v>44174</v>
      </c>
      <c r="K365" s="28">
        <v>125.500557</v>
      </c>
      <c r="L365" s="28">
        <f t="shared" si="11"/>
        <v>2.7750797014839207E-2</v>
      </c>
      <c r="M365" s="32">
        <v>3694.62</v>
      </c>
      <c r="N365" s="28">
        <f t="shared" si="11"/>
        <v>-2.0630355018217209E-3</v>
      </c>
    </row>
    <row r="366" spans="1:14">
      <c r="A366" s="30">
        <v>42167</v>
      </c>
      <c r="B366" s="28">
        <v>28.653879</v>
      </c>
      <c r="C366" s="28">
        <f t="shared" si="10"/>
        <v>-1.1104147592866926E-2</v>
      </c>
      <c r="D366" s="31">
        <v>2094.11</v>
      </c>
      <c r="E366" s="28">
        <f t="shared" si="10"/>
        <v>-7.018875011890289E-3</v>
      </c>
      <c r="J366" s="30">
        <v>44181</v>
      </c>
      <c r="K366" s="28">
        <v>129.426132</v>
      </c>
      <c r="L366" s="28">
        <f t="shared" si="11"/>
        <v>3.0800112318925509E-2</v>
      </c>
      <c r="M366" s="32">
        <v>3687.26</v>
      </c>
      <c r="N366" s="28">
        <f t="shared" si="11"/>
        <v>-1.9940726315823762E-3</v>
      </c>
    </row>
    <row r="367" spans="1:14">
      <c r="A367" s="30">
        <v>42170</v>
      </c>
      <c r="B367" s="28">
        <v>28.597543999999999</v>
      </c>
      <c r="C367" s="28">
        <f t="shared" si="10"/>
        <v>-1.9679866536063341E-3</v>
      </c>
      <c r="D367" s="31">
        <v>2084.4299999999998</v>
      </c>
      <c r="E367" s="28">
        <f t="shared" si="10"/>
        <v>-4.6332055293856079E-3</v>
      </c>
      <c r="J367" s="30">
        <v>44188</v>
      </c>
      <c r="K367" s="28">
        <v>132.36050399999999</v>
      </c>
      <c r="L367" s="28">
        <f t="shared" si="11"/>
        <v>2.2418981715152254E-2</v>
      </c>
      <c r="M367" s="32">
        <v>3727.04</v>
      </c>
      <c r="N367" s="28">
        <f t="shared" si="11"/>
        <v>1.0730718130078294E-2</v>
      </c>
    </row>
    <row r="368" spans="1:14">
      <c r="A368" s="30">
        <v>42171</v>
      </c>
      <c r="B368" s="28">
        <v>28.750762999999999</v>
      </c>
      <c r="C368" s="28">
        <f t="shared" si="10"/>
        <v>5.3434660090987502E-3</v>
      </c>
      <c r="D368" s="31">
        <v>2096.29</v>
      </c>
      <c r="E368" s="28">
        <f t="shared" si="10"/>
        <v>5.6736790864062693E-3</v>
      </c>
      <c r="J368" s="30">
        <v>44195</v>
      </c>
      <c r="K368" s="28">
        <v>128.572327</v>
      </c>
      <c r="L368" s="28">
        <f t="shared" si="11"/>
        <v>-2.9037688820718367E-2</v>
      </c>
      <c r="M368" s="32">
        <v>3726.86</v>
      </c>
      <c r="N368" s="28">
        <f t="shared" si="11"/>
        <v>-4.8296864737892545E-5</v>
      </c>
    </row>
    <row r="369" spans="1:14">
      <c r="A369" s="30">
        <v>42172</v>
      </c>
      <c r="B369" s="28">
        <v>28.683167999999998</v>
      </c>
      <c r="C369" s="28">
        <f t="shared" si="10"/>
        <v>-2.3538361394564275E-3</v>
      </c>
      <c r="D369" s="31">
        <v>2100.44</v>
      </c>
      <c r="E369" s="28">
        <f t="shared" si="10"/>
        <v>1.9777309251246271E-3</v>
      </c>
      <c r="J369" s="30">
        <v>44202</v>
      </c>
      <c r="K369" s="28">
        <v>126.40345000000001</v>
      </c>
      <c r="L369" s="28">
        <f t="shared" si="11"/>
        <v>-1.7012826378289037E-2</v>
      </c>
      <c r="M369" s="32">
        <v>3801.19</v>
      </c>
      <c r="N369" s="28">
        <f t="shared" si="11"/>
        <v>1.9748119535965909E-2</v>
      </c>
    </row>
    <row r="370" spans="1:14">
      <c r="A370" s="30">
        <v>42173</v>
      </c>
      <c r="B370" s="28">
        <v>28.813849999999999</v>
      </c>
      <c r="C370" s="28">
        <f t="shared" si="10"/>
        <v>4.5457044408148441E-3</v>
      </c>
      <c r="D370" s="31">
        <v>2121.2399999999998</v>
      </c>
      <c r="E370" s="28">
        <f t="shared" si="10"/>
        <v>9.853976761801558E-3</v>
      </c>
      <c r="J370" s="30">
        <v>44209</v>
      </c>
      <c r="K370" s="28">
        <v>125.4515</v>
      </c>
      <c r="L370" s="28">
        <f t="shared" si="11"/>
        <v>-7.5595459481622796E-3</v>
      </c>
      <c r="M370" s="32">
        <v>3798.91</v>
      </c>
      <c r="N370" s="28">
        <f t="shared" si="11"/>
        <v>-5.9999212336642356E-4</v>
      </c>
    </row>
    <row r="371" spans="1:14">
      <c r="A371" s="30">
        <v>42174</v>
      </c>
      <c r="B371" s="28">
        <v>28.52544</v>
      </c>
      <c r="C371" s="28">
        <f t="shared" si="10"/>
        <v>-1.0059853628090141E-2</v>
      </c>
      <c r="D371" s="31">
        <v>2109.9899999999998</v>
      </c>
      <c r="E371" s="28">
        <f t="shared" si="10"/>
        <v>-5.3176152134035261E-3</v>
      </c>
      <c r="J371" s="30">
        <v>44216</v>
      </c>
      <c r="K371" s="28">
        <v>140.49627699999999</v>
      </c>
      <c r="L371" s="28">
        <f t="shared" si="11"/>
        <v>0.11326176050616629</v>
      </c>
      <c r="M371" s="32">
        <v>3849.62</v>
      </c>
      <c r="N371" s="28">
        <f t="shared" si="11"/>
        <v>1.3260258649686312E-2</v>
      </c>
    </row>
    <row r="372" spans="1:14">
      <c r="A372" s="30">
        <v>42177</v>
      </c>
      <c r="B372" s="28">
        <v>28.753014</v>
      </c>
      <c r="C372" s="28">
        <f t="shared" si="10"/>
        <v>7.946275836280289E-3</v>
      </c>
      <c r="D372" s="31">
        <v>2122.85</v>
      </c>
      <c r="E372" s="28">
        <f t="shared" si="10"/>
        <v>6.0763173508369944E-3</v>
      </c>
      <c r="J372" s="30">
        <v>44223</v>
      </c>
      <c r="K372" s="28">
        <v>132.478241</v>
      </c>
      <c r="L372" s="28">
        <f t="shared" si="11"/>
        <v>-5.8762577129118067E-2</v>
      </c>
      <c r="M372" s="32">
        <v>3826.31</v>
      </c>
      <c r="N372" s="28">
        <f t="shared" si="11"/>
        <v>-6.0735498252095779E-3</v>
      </c>
    </row>
    <row r="373" spans="1:14">
      <c r="A373" s="30">
        <v>42178</v>
      </c>
      <c r="B373" s="28">
        <v>28.622328</v>
      </c>
      <c r="C373" s="28">
        <f t="shared" si="10"/>
        <v>-4.555483991862239E-3</v>
      </c>
      <c r="D373" s="31">
        <v>2124.1999999999998</v>
      </c>
      <c r="E373" s="28">
        <f t="shared" si="10"/>
        <v>6.3573541421357567E-4</v>
      </c>
      <c r="J373" s="30">
        <v>44230</v>
      </c>
      <c r="K373" s="28">
        <v>133.479309</v>
      </c>
      <c r="L373" s="28">
        <f t="shared" si="11"/>
        <v>7.5280639913019292E-3</v>
      </c>
      <c r="M373" s="32">
        <v>3911.23</v>
      </c>
      <c r="N373" s="28">
        <f t="shared" si="11"/>
        <v>2.195101022861496E-2</v>
      </c>
    </row>
    <row r="374" spans="1:14">
      <c r="A374" s="30">
        <v>42179</v>
      </c>
      <c r="B374" s="28">
        <v>28.865677000000002</v>
      </c>
      <c r="C374" s="28">
        <f t="shared" si="10"/>
        <v>8.4661297085784955E-3</v>
      </c>
      <c r="D374" s="31">
        <v>2108.58</v>
      </c>
      <c r="E374" s="28">
        <f t="shared" si="10"/>
        <v>-7.3805257559009111E-3</v>
      </c>
      <c r="J374" s="30">
        <v>44237</v>
      </c>
      <c r="K374" s="28">
        <v>130.90707399999999</v>
      </c>
      <c r="L374" s="28">
        <f t="shared" si="11"/>
        <v>-1.945876435571656E-2</v>
      </c>
      <c r="M374" s="32">
        <v>3932.59</v>
      </c>
      <c r="N374" s="28">
        <f t="shared" si="11"/>
        <v>5.4463393600118959E-3</v>
      </c>
    </row>
    <row r="375" spans="1:14">
      <c r="A375" s="30">
        <v>42180</v>
      </c>
      <c r="B375" s="28">
        <v>28.72823</v>
      </c>
      <c r="C375" s="28">
        <f t="shared" si="10"/>
        <v>-4.7729792297426851E-3</v>
      </c>
      <c r="D375" s="31">
        <v>2102.31</v>
      </c>
      <c r="E375" s="28">
        <f t="shared" si="10"/>
        <v>-2.977994976722945E-3</v>
      </c>
      <c r="J375" s="30">
        <v>44244</v>
      </c>
      <c r="K375" s="28">
        <v>123.702713</v>
      </c>
      <c r="L375" s="28">
        <f t="shared" si="11"/>
        <v>-5.6606501456830494E-2</v>
      </c>
      <c r="M375" s="32">
        <v>3881.37</v>
      </c>
      <c r="N375" s="28">
        <f t="shared" si="11"/>
        <v>-1.3110057797014803E-2</v>
      </c>
    </row>
    <row r="376" spans="1:14">
      <c r="A376" s="30">
        <v>42181</v>
      </c>
      <c r="B376" s="28">
        <v>28.559237</v>
      </c>
      <c r="C376" s="28">
        <f t="shared" si="10"/>
        <v>-5.8998415899212658E-3</v>
      </c>
      <c r="D376" s="31">
        <v>2101.4899999999998</v>
      </c>
      <c r="E376" s="28">
        <f t="shared" si="10"/>
        <v>-3.9012322679491675E-4</v>
      </c>
      <c r="J376" s="30">
        <v>44251</v>
      </c>
      <c r="K376" s="28">
        <v>122.97541</v>
      </c>
      <c r="L376" s="28">
        <f t="shared" si="11"/>
        <v>-5.8967945648891653E-3</v>
      </c>
      <c r="M376" s="32">
        <v>3870.29</v>
      </c>
      <c r="N376" s="28">
        <f t="shared" si="11"/>
        <v>-2.858744461409924E-3</v>
      </c>
    </row>
    <row r="377" spans="1:14">
      <c r="A377" s="30">
        <v>42184</v>
      </c>
      <c r="B377" s="28">
        <v>28.059031999999998</v>
      </c>
      <c r="C377" s="28">
        <f t="shared" si="10"/>
        <v>-1.7669844854322249E-2</v>
      </c>
      <c r="D377" s="31">
        <v>2057.64</v>
      </c>
      <c r="E377" s="28">
        <f t="shared" si="10"/>
        <v>-2.1086921949260151E-2</v>
      </c>
      <c r="J377" s="30">
        <v>44258</v>
      </c>
      <c r="K377" s="28">
        <v>119.014488</v>
      </c>
      <c r="L377" s="28">
        <f t="shared" si="11"/>
        <v>-3.273918308680851E-2</v>
      </c>
      <c r="M377" s="32">
        <v>3875.44</v>
      </c>
      <c r="N377" s="28">
        <f t="shared" si="11"/>
        <v>1.3297651115865288E-3</v>
      </c>
    </row>
    <row r="378" spans="1:14">
      <c r="A378" s="30">
        <v>42185</v>
      </c>
      <c r="B378" s="28">
        <v>28.26182</v>
      </c>
      <c r="C378" s="28">
        <f t="shared" si="10"/>
        <v>7.2012005903458265E-3</v>
      </c>
      <c r="D378" s="31">
        <v>2063.11</v>
      </c>
      <c r="E378" s="28">
        <f t="shared" si="10"/>
        <v>2.654858078183291E-3</v>
      </c>
      <c r="J378" s="30">
        <v>44265</v>
      </c>
      <c r="K378" s="28">
        <v>123.41770200000001</v>
      </c>
      <c r="L378" s="28">
        <f t="shared" si="11"/>
        <v>3.6329319770997674E-2</v>
      </c>
      <c r="M378" s="32">
        <v>3962.71</v>
      </c>
      <c r="N378" s="28">
        <f t="shared" si="11"/>
        <v>2.2268929898264692E-2</v>
      </c>
    </row>
    <row r="379" spans="1:14">
      <c r="A379" s="30">
        <v>42186</v>
      </c>
      <c r="B379" s="28">
        <v>28.52544</v>
      </c>
      <c r="C379" s="28">
        <f t="shared" si="10"/>
        <v>9.284543530643766E-3</v>
      </c>
      <c r="D379" s="31">
        <v>2077.42</v>
      </c>
      <c r="E379" s="28">
        <f t="shared" si="10"/>
        <v>6.9121861093133178E-3</v>
      </c>
      <c r="J379" s="30">
        <v>44272</v>
      </c>
      <c r="K379" s="28">
        <v>120.439629</v>
      </c>
      <c r="L379" s="28">
        <f t="shared" si="11"/>
        <v>-2.4425930134193446E-2</v>
      </c>
      <c r="M379" s="32">
        <v>3910.52</v>
      </c>
      <c r="N379" s="28">
        <f t="shared" si="11"/>
        <v>-1.3257777162597174E-2</v>
      </c>
    </row>
    <row r="380" spans="1:14">
      <c r="A380" s="30">
        <v>42187</v>
      </c>
      <c r="B380" s="28">
        <v>28.489391000000001</v>
      </c>
      <c r="C380" s="28">
        <f t="shared" si="10"/>
        <v>-1.2645483349332583E-3</v>
      </c>
      <c r="D380" s="31">
        <v>2076.7800000000002</v>
      </c>
      <c r="E380" s="28">
        <f t="shared" si="10"/>
        <v>-3.0812190316463852E-4</v>
      </c>
      <c r="J380" s="30">
        <v>44279</v>
      </c>
      <c r="K380" s="28">
        <v>117.844872</v>
      </c>
      <c r="L380" s="28">
        <f t="shared" si="11"/>
        <v>-2.1779507741572814E-2</v>
      </c>
      <c r="M380" s="32">
        <v>3958.55</v>
      </c>
      <c r="N380" s="28">
        <f t="shared" si="11"/>
        <v>1.2207439114749648E-2</v>
      </c>
    </row>
    <row r="381" spans="1:14">
      <c r="A381" s="30">
        <v>42191</v>
      </c>
      <c r="B381" s="28">
        <v>28.390253000000001</v>
      </c>
      <c r="C381" s="28">
        <f t="shared" si="10"/>
        <v>-3.4858903262134106E-3</v>
      </c>
      <c r="D381" s="31">
        <v>2068.7600000000002</v>
      </c>
      <c r="E381" s="28">
        <f t="shared" si="10"/>
        <v>-3.8692233125439636E-3</v>
      </c>
      <c r="J381" s="30">
        <v>44286</v>
      </c>
      <c r="K381" s="28">
        <v>124.046738</v>
      </c>
      <c r="L381" s="28">
        <f t="shared" si="11"/>
        <v>5.1289298448373613E-2</v>
      </c>
      <c r="M381" s="32">
        <v>4073.94</v>
      </c>
      <c r="N381" s="28">
        <f t="shared" si="11"/>
        <v>2.8732793558967767E-2</v>
      </c>
    </row>
    <row r="382" spans="1:14">
      <c r="A382" s="30">
        <v>42192</v>
      </c>
      <c r="B382" s="28">
        <v>28.320405999999998</v>
      </c>
      <c r="C382" s="28">
        <f t="shared" si="10"/>
        <v>-2.4632771528100687E-3</v>
      </c>
      <c r="D382" s="31">
        <v>2081.34</v>
      </c>
      <c r="E382" s="28">
        <f t="shared" si="10"/>
        <v>6.0625230864869576E-3</v>
      </c>
      <c r="J382" s="30">
        <v>44293</v>
      </c>
      <c r="K382" s="28">
        <v>132.12583900000001</v>
      </c>
      <c r="L382" s="28">
        <f t="shared" si="11"/>
        <v>6.3096380273924016E-2</v>
      </c>
      <c r="M382" s="32">
        <v>4141.59</v>
      </c>
      <c r="N382" s="28">
        <f t="shared" si="11"/>
        <v>1.646918192119038E-2</v>
      </c>
    </row>
    <row r="383" spans="1:14">
      <c r="A383" s="30">
        <v>42193</v>
      </c>
      <c r="B383" s="28">
        <v>27.617402999999999</v>
      </c>
      <c r="C383" s="28">
        <f t="shared" si="10"/>
        <v>-2.5136487388597757E-2</v>
      </c>
      <c r="D383" s="31">
        <v>2046.68</v>
      </c>
      <c r="E383" s="28">
        <f t="shared" si="10"/>
        <v>-1.6792948927196509E-2</v>
      </c>
      <c r="J383" s="30">
        <v>44300</v>
      </c>
      <c r="K383" s="28">
        <v>130.828461</v>
      </c>
      <c r="L383" s="28">
        <f t="shared" si="11"/>
        <v>-9.8677871209762822E-3</v>
      </c>
      <c r="M383" s="32">
        <v>4134.9399999999996</v>
      </c>
      <c r="N383" s="28">
        <f t="shared" si="11"/>
        <v>-1.6069539845867144E-3</v>
      </c>
    </row>
    <row r="384" spans="1:14">
      <c r="A384" s="30">
        <v>42194</v>
      </c>
      <c r="B384" s="28">
        <v>27.054102</v>
      </c>
      <c r="C384" s="28">
        <f t="shared" si="10"/>
        <v>-2.060747859515356E-2</v>
      </c>
      <c r="D384" s="31">
        <v>2051.31</v>
      </c>
      <c r="E384" s="28">
        <f t="shared" si="10"/>
        <v>2.2596453237141356E-3</v>
      </c>
      <c r="J384" s="30">
        <v>44307</v>
      </c>
      <c r="K384" s="28">
        <v>132.086533</v>
      </c>
      <c r="L384" s="28">
        <f t="shared" si="11"/>
        <v>9.5702537390800688E-3</v>
      </c>
      <c r="M384" s="32">
        <v>4186.72</v>
      </c>
      <c r="N384" s="28">
        <f t="shared" si="11"/>
        <v>1.2444793052041974E-2</v>
      </c>
    </row>
    <row r="385" spans="1:14">
      <c r="A385" s="30">
        <v>42195</v>
      </c>
      <c r="B385" s="28">
        <v>27.77739</v>
      </c>
      <c r="C385" s="28">
        <f t="shared" si="10"/>
        <v>2.6383741531387419E-2</v>
      </c>
      <c r="D385" s="31">
        <v>2076.62</v>
      </c>
      <c r="E385" s="28">
        <f t="shared" si="10"/>
        <v>1.2262958517226932E-2</v>
      </c>
      <c r="J385" s="30">
        <v>44314</v>
      </c>
      <c r="K385" s="28">
        <v>125.658615</v>
      </c>
      <c r="L385" s="28">
        <f t="shared" si="11"/>
        <v>-4.9888435726457757E-2</v>
      </c>
      <c r="M385" s="32">
        <v>4164.66</v>
      </c>
      <c r="N385" s="28">
        <f t="shared" si="11"/>
        <v>-5.2829715106892348E-3</v>
      </c>
    </row>
    <row r="386" spans="1:14">
      <c r="A386" s="30">
        <v>42198</v>
      </c>
      <c r="B386" s="28">
        <v>28.313641000000001</v>
      </c>
      <c r="C386" s="28">
        <f t="shared" si="10"/>
        <v>1.9121322223385986E-2</v>
      </c>
      <c r="D386" s="31">
        <v>2099.6</v>
      </c>
      <c r="E386" s="28">
        <f t="shared" si="10"/>
        <v>1.1005278427365045E-2</v>
      </c>
      <c r="J386" s="30">
        <v>44321</v>
      </c>
      <c r="K386" s="28">
        <v>123.751869</v>
      </c>
      <c r="L386" s="28">
        <f t="shared" si="11"/>
        <v>-1.5290320744137017E-2</v>
      </c>
      <c r="M386" s="32">
        <v>4152.1000000000004</v>
      </c>
      <c r="N386" s="28">
        <f t="shared" si="11"/>
        <v>-3.0204092816444143E-3</v>
      </c>
    </row>
    <row r="387" spans="1:14">
      <c r="A387" s="30">
        <v>42199</v>
      </c>
      <c r="B387" s="28">
        <v>28.302382000000001</v>
      </c>
      <c r="C387" s="28">
        <f t="shared" si="10"/>
        <v>-3.9773193353481669E-4</v>
      </c>
      <c r="D387" s="31">
        <v>2108.9499999999998</v>
      </c>
      <c r="E387" s="28">
        <f t="shared" si="10"/>
        <v>4.4433429011478572E-3</v>
      </c>
      <c r="J387" s="30">
        <v>44328</v>
      </c>
      <c r="K387" s="28">
        <v>122.91848</v>
      </c>
      <c r="L387" s="28">
        <f t="shared" si="11"/>
        <v>-6.7571329455780125E-3</v>
      </c>
      <c r="M387" s="32">
        <v>4127.83</v>
      </c>
      <c r="N387" s="28">
        <f t="shared" si="11"/>
        <v>-5.8623851912638766E-3</v>
      </c>
    </row>
    <row r="388" spans="1:14">
      <c r="A388" s="30">
        <v>42200</v>
      </c>
      <c r="B388" s="28">
        <v>28.575018</v>
      </c>
      <c r="C388" s="28">
        <f t="shared" si="10"/>
        <v>9.5868688834992947E-3</v>
      </c>
      <c r="D388" s="31">
        <v>2107.4</v>
      </c>
      <c r="E388" s="28">
        <f t="shared" si="10"/>
        <v>-7.3523311386536176E-4</v>
      </c>
      <c r="J388" s="30">
        <v>44335</v>
      </c>
      <c r="K388" s="28">
        <v>124.93676000000001</v>
      </c>
      <c r="L388" s="28">
        <f t="shared" si="11"/>
        <v>1.6286317862122219E-2</v>
      </c>
      <c r="M388" s="32">
        <v>4188.13</v>
      </c>
      <c r="N388" s="28">
        <f t="shared" si="11"/>
        <v>1.4502488435539409E-2</v>
      </c>
    </row>
    <row r="389" spans="1:14">
      <c r="A389" s="30">
        <v>42201</v>
      </c>
      <c r="B389" s="28">
        <v>28.955801000000001</v>
      </c>
      <c r="C389" s="28">
        <f t="shared" ref="C389:E452" si="12">LN(B389/B388)</f>
        <v>1.3237724309142345E-2</v>
      </c>
      <c r="D389" s="31">
        <v>2124.29</v>
      </c>
      <c r="E389" s="28">
        <f t="shared" si="12"/>
        <v>7.9826687162939235E-3</v>
      </c>
      <c r="J389" s="30">
        <v>44342</v>
      </c>
      <c r="K389" s="28">
        <v>122.357285</v>
      </c>
      <c r="L389" s="28">
        <f t="shared" ref="L389:N452" si="13">LN(K389/K388)</f>
        <v>-2.0862358868799009E-2</v>
      </c>
      <c r="M389" s="32">
        <v>4202.04</v>
      </c>
      <c r="N389" s="28">
        <f t="shared" si="13"/>
        <v>3.3157880577860894E-3</v>
      </c>
    </row>
    <row r="390" spans="1:14">
      <c r="A390" s="30">
        <v>42202</v>
      </c>
      <c r="B390" s="28">
        <v>29.205904</v>
      </c>
      <c r="C390" s="28">
        <f t="shared" si="12"/>
        <v>8.6003167059764823E-3</v>
      </c>
      <c r="D390" s="31">
        <v>2126.64</v>
      </c>
      <c r="E390" s="28">
        <f t="shared" si="12"/>
        <v>1.1056405254354067E-3</v>
      </c>
      <c r="J390" s="30">
        <v>44349</v>
      </c>
      <c r="K390" s="28">
        <v>124.779228</v>
      </c>
      <c r="L390" s="28">
        <f t="shared" si="13"/>
        <v>1.9600669361778615E-2</v>
      </c>
      <c r="M390" s="32">
        <v>4227.26</v>
      </c>
      <c r="N390" s="28">
        <f t="shared" si="13"/>
        <v>5.9839073836840083E-3</v>
      </c>
    </row>
    <row r="391" spans="1:14">
      <c r="A391" s="30">
        <v>42205</v>
      </c>
      <c r="B391" s="28">
        <v>29.757943999999998</v>
      </c>
      <c r="C391" s="28">
        <f t="shared" si="12"/>
        <v>1.8725240939781777E-2</v>
      </c>
      <c r="D391" s="31">
        <v>2128.2800000000002</v>
      </c>
      <c r="E391" s="28">
        <f t="shared" si="12"/>
        <v>7.7087234599653289E-4</v>
      </c>
      <c r="J391" s="30">
        <v>44356</v>
      </c>
      <c r="K391" s="28">
        <v>127.634354</v>
      </c>
      <c r="L391" s="28">
        <f t="shared" si="13"/>
        <v>2.2623566874609934E-2</v>
      </c>
      <c r="M391" s="32">
        <v>4246.59</v>
      </c>
      <c r="N391" s="28">
        <f t="shared" si="13"/>
        <v>4.562278900027552E-3</v>
      </c>
    </row>
    <row r="392" spans="1:14">
      <c r="A392" s="30">
        <v>42206</v>
      </c>
      <c r="B392" s="28">
        <v>29.460526000000002</v>
      </c>
      <c r="C392" s="28">
        <f t="shared" si="12"/>
        <v>-1.0044855963483859E-2</v>
      </c>
      <c r="D392" s="31">
        <v>2119.21</v>
      </c>
      <c r="E392" s="28">
        <f t="shared" si="12"/>
        <v>-4.2707640446294944E-3</v>
      </c>
      <c r="J392" s="30">
        <v>44363</v>
      </c>
      <c r="K392" s="28">
        <v>131.90721099999999</v>
      </c>
      <c r="L392" s="28">
        <f t="shared" si="13"/>
        <v>3.292916178442129E-2</v>
      </c>
      <c r="M392" s="32">
        <v>4246.4399999999996</v>
      </c>
      <c r="N392" s="28">
        <f t="shared" si="13"/>
        <v>-3.5323082578575326E-5</v>
      </c>
    </row>
    <row r="393" spans="1:14">
      <c r="A393" s="30">
        <v>42207</v>
      </c>
      <c r="B393" s="28">
        <v>28.214502</v>
      </c>
      <c r="C393" s="28">
        <f t="shared" si="12"/>
        <v>-4.3215164514086989E-2</v>
      </c>
      <c r="D393" s="31">
        <v>2114.15</v>
      </c>
      <c r="E393" s="28">
        <f t="shared" si="12"/>
        <v>-2.3905372610337479E-3</v>
      </c>
      <c r="J393" s="30">
        <v>44370</v>
      </c>
      <c r="K393" s="28">
        <v>134.22084000000001</v>
      </c>
      <c r="L393" s="28">
        <f t="shared" si="13"/>
        <v>1.738777465866273E-2</v>
      </c>
      <c r="M393" s="32">
        <v>4291.8</v>
      </c>
      <c r="N393" s="28">
        <f t="shared" si="13"/>
        <v>1.0625240505087501E-2</v>
      </c>
    </row>
    <row r="394" spans="1:14">
      <c r="A394" s="30">
        <v>42208</v>
      </c>
      <c r="B394" s="28">
        <v>28.200983000000001</v>
      </c>
      <c r="C394" s="28">
        <f t="shared" si="12"/>
        <v>-4.7926558670084821E-4</v>
      </c>
      <c r="D394" s="31">
        <v>2102.15</v>
      </c>
      <c r="E394" s="28">
        <f t="shared" si="12"/>
        <v>-5.6922099476966175E-3</v>
      </c>
      <c r="J394" s="30">
        <v>44377</v>
      </c>
      <c r="K394" s="28">
        <v>139.822845</v>
      </c>
      <c r="L394" s="28">
        <f t="shared" si="13"/>
        <v>4.088972537431692E-2</v>
      </c>
      <c r="M394" s="32">
        <v>4343.54</v>
      </c>
      <c r="N394" s="28">
        <f t="shared" si="13"/>
        <v>1.1983458478295187E-2</v>
      </c>
    </row>
    <row r="395" spans="1:14">
      <c r="A395" s="30">
        <v>42209</v>
      </c>
      <c r="B395" s="28">
        <v>28.052277</v>
      </c>
      <c r="C395" s="28">
        <f t="shared" si="12"/>
        <v>-5.287030347902736E-3</v>
      </c>
      <c r="D395" s="31">
        <v>2079.65</v>
      </c>
      <c r="E395" s="28">
        <f t="shared" si="12"/>
        <v>-1.0761020194054139E-2</v>
      </c>
      <c r="J395" s="30">
        <v>44384</v>
      </c>
      <c r="K395" s="28">
        <v>143.38682600000001</v>
      </c>
      <c r="L395" s="28">
        <f t="shared" si="13"/>
        <v>2.5169826580539442E-2</v>
      </c>
      <c r="M395" s="32">
        <v>4369.21</v>
      </c>
      <c r="N395" s="28">
        <f t="shared" si="13"/>
        <v>5.8925308945929041E-3</v>
      </c>
    </row>
    <row r="396" spans="1:14">
      <c r="A396" s="30">
        <v>42212</v>
      </c>
      <c r="B396" s="28">
        <v>27.662469999999999</v>
      </c>
      <c r="C396" s="28">
        <f t="shared" si="12"/>
        <v>-1.3993184268760041E-2</v>
      </c>
      <c r="D396" s="31">
        <v>2067.64</v>
      </c>
      <c r="E396" s="28">
        <f t="shared" si="12"/>
        <v>-5.7917500692277806E-3</v>
      </c>
      <c r="J396" s="30">
        <v>44391</v>
      </c>
      <c r="K396" s="28">
        <v>143.888947</v>
      </c>
      <c r="L396" s="28">
        <f t="shared" si="13"/>
        <v>3.4957456112135982E-3</v>
      </c>
      <c r="M396" s="32">
        <v>4323.0600000000004</v>
      </c>
      <c r="N396" s="28">
        <f t="shared" si="13"/>
        <v>-1.0618729893444806E-2</v>
      </c>
    </row>
    <row r="397" spans="1:14">
      <c r="A397" s="30">
        <v>42213</v>
      </c>
      <c r="B397" s="28">
        <v>27.799917000000001</v>
      </c>
      <c r="C397" s="28">
        <f t="shared" si="12"/>
        <v>4.956414204721568E-3</v>
      </c>
      <c r="D397" s="31">
        <v>2093.25</v>
      </c>
      <c r="E397" s="28">
        <f t="shared" si="12"/>
        <v>1.231002184803006E-2</v>
      </c>
      <c r="J397" s="30">
        <v>44398</v>
      </c>
      <c r="K397" s="28">
        <v>144.49937399999999</v>
      </c>
      <c r="L397" s="28">
        <f t="shared" si="13"/>
        <v>4.2333747048309053E-3</v>
      </c>
      <c r="M397" s="32">
        <v>4401.46</v>
      </c>
      <c r="N397" s="28">
        <f t="shared" si="13"/>
        <v>1.7972819226856444E-2</v>
      </c>
    </row>
    <row r="398" spans="1:14">
      <c r="A398" s="30">
        <v>42214</v>
      </c>
      <c r="B398" s="28">
        <v>27.712036000000001</v>
      </c>
      <c r="C398" s="28">
        <f t="shared" si="12"/>
        <v>-3.1662036252303421E-3</v>
      </c>
      <c r="D398" s="31">
        <v>2108.5700000000002</v>
      </c>
      <c r="E398" s="28">
        <f t="shared" si="12"/>
        <v>7.2921105076044846E-3</v>
      </c>
      <c r="J398" s="30">
        <v>44405</v>
      </c>
      <c r="K398" s="28">
        <v>145.080231</v>
      </c>
      <c r="L398" s="28">
        <f t="shared" si="13"/>
        <v>4.0117312752411833E-3</v>
      </c>
      <c r="M398" s="32">
        <v>4423.1499999999996</v>
      </c>
      <c r="N398" s="28">
        <f t="shared" si="13"/>
        <v>4.9158078778601634E-3</v>
      </c>
    </row>
    <row r="399" spans="1:14">
      <c r="A399" s="30">
        <v>42215</v>
      </c>
      <c r="B399" s="28">
        <v>27.572344000000001</v>
      </c>
      <c r="C399" s="28">
        <f t="shared" si="12"/>
        <v>-5.053590084458881E-3</v>
      </c>
      <c r="D399" s="31">
        <v>2108.63</v>
      </c>
      <c r="E399" s="28">
        <f t="shared" si="12"/>
        <v>2.8454898986964683E-5</v>
      </c>
      <c r="J399" s="30">
        <v>44412</v>
      </c>
      <c r="K399" s="28">
        <v>143.34745799999999</v>
      </c>
      <c r="L399" s="28">
        <f t="shared" si="13"/>
        <v>-1.2015447288027774E-2</v>
      </c>
      <c r="M399" s="32">
        <v>4436.75</v>
      </c>
      <c r="N399" s="28">
        <f t="shared" si="13"/>
        <v>3.0700144881213101E-3</v>
      </c>
    </row>
    <row r="400" spans="1:14">
      <c r="A400" s="30">
        <v>42216</v>
      </c>
      <c r="B400" s="28">
        <v>27.331247000000001</v>
      </c>
      <c r="C400" s="28">
        <f t="shared" si="12"/>
        <v>-8.7826149563106325E-3</v>
      </c>
      <c r="D400" s="31">
        <v>2103.84</v>
      </c>
      <c r="E400" s="28">
        <f t="shared" si="12"/>
        <v>-2.274201152523918E-3</v>
      </c>
      <c r="J400" s="30">
        <v>44419</v>
      </c>
      <c r="K400" s="28">
        <v>148.087997</v>
      </c>
      <c r="L400" s="28">
        <f t="shared" si="13"/>
        <v>3.2535212048773438E-2</v>
      </c>
      <c r="M400" s="32">
        <v>4448.08</v>
      </c>
      <c r="N400" s="28">
        <f t="shared" si="13"/>
        <v>2.5504159655156721E-3</v>
      </c>
    </row>
    <row r="401" spans="1:14">
      <c r="A401" s="30">
        <v>42219</v>
      </c>
      <c r="B401" s="28">
        <v>26.686831999999999</v>
      </c>
      <c r="C401" s="28">
        <f t="shared" si="12"/>
        <v>-2.3860366184012383E-2</v>
      </c>
      <c r="D401" s="31">
        <v>2098.04</v>
      </c>
      <c r="E401" s="28">
        <f t="shared" si="12"/>
        <v>-2.7606707871855756E-3</v>
      </c>
      <c r="J401" s="30">
        <v>44426</v>
      </c>
      <c r="K401" s="28">
        <v>147.52593999999999</v>
      </c>
      <c r="L401" s="28">
        <f t="shared" si="13"/>
        <v>-3.8026466748367783E-3</v>
      </c>
      <c r="M401" s="32">
        <v>4486.2299999999996</v>
      </c>
      <c r="N401" s="28">
        <f t="shared" si="13"/>
        <v>8.5401630053761474E-3</v>
      </c>
    </row>
    <row r="402" spans="1:14">
      <c r="A402" s="30">
        <v>42220</v>
      </c>
      <c r="B402" s="28">
        <v>25.830625999999999</v>
      </c>
      <c r="C402" s="28">
        <f t="shared" si="12"/>
        <v>-3.2609418031323764E-2</v>
      </c>
      <c r="D402" s="31">
        <v>2093.3200000000002</v>
      </c>
      <c r="E402" s="28">
        <f t="shared" si="12"/>
        <v>-2.2522532043250201E-3</v>
      </c>
      <c r="J402" s="30">
        <v>44433</v>
      </c>
      <c r="K402" s="28">
        <v>149.70504800000001</v>
      </c>
      <c r="L402" s="28">
        <f t="shared" si="13"/>
        <v>1.4662986907611131E-2</v>
      </c>
      <c r="M402" s="32">
        <v>4522.68</v>
      </c>
      <c r="N402" s="28">
        <f t="shared" si="13"/>
        <v>8.0920330868706706E-3</v>
      </c>
    </row>
    <row r="403" spans="1:14">
      <c r="A403" s="30">
        <v>42221</v>
      </c>
      <c r="B403" s="28">
        <v>26.001868999999999</v>
      </c>
      <c r="C403" s="28">
        <f t="shared" si="12"/>
        <v>6.6075778540036672E-3</v>
      </c>
      <c r="D403" s="31">
        <v>2099.84</v>
      </c>
      <c r="E403" s="28">
        <f t="shared" si="12"/>
        <v>3.1098289855839203E-3</v>
      </c>
      <c r="J403" s="30">
        <v>44440</v>
      </c>
      <c r="K403" s="28">
        <v>154.49704</v>
      </c>
      <c r="L403" s="28">
        <f t="shared" si="13"/>
        <v>3.1507925946287249E-2</v>
      </c>
      <c r="M403" s="32">
        <v>4520.03</v>
      </c>
      <c r="N403" s="28">
        <f t="shared" si="13"/>
        <v>-5.8610750004405314E-4</v>
      </c>
    </row>
    <row r="404" spans="1:14">
      <c r="A404" s="30">
        <v>42222</v>
      </c>
      <c r="B404" s="28">
        <v>26.058453</v>
      </c>
      <c r="C404" s="28">
        <f t="shared" si="12"/>
        <v>2.1737868729124676E-3</v>
      </c>
      <c r="D404" s="31">
        <v>2083.56</v>
      </c>
      <c r="E404" s="28">
        <f t="shared" si="12"/>
        <v>-7.7831821886354671E-3</v>
      </c>
      <c r="J404" s="30">
        <v>44447</v>
      </c>
      <c r="K404" s="28">
        <v>146.04693599999999</v>
      </c>
      <c r="L404" s="28">
        <f t="shared" si="13"/>
        <v>-5.6246888081276175E-2</v>
      </c>
      <c r="M404" s="32">
        <v>4443.05</v>
      </c>
      <c r="N404" s="28">
        <f t="shared" si="13"/>
        <v>-1.7177553442367269E-2</v>
      </c>
    </row>
    <row r="405" spans="1:14">
      <c r="A405" s="30">
        <v>42223</v>
      </c>
      <c r="B405" s="28">
        <v>26.146719000000001</v>
      </c>
      <c r="C405" s="28">
        <f t="shared" si="12"/>
        <v>3.3815072616605536E-3</v>
      </c>
      <c r="D405" s="31">
        <v>2077.5700000000002</v>
      </c>
      <c r="E405" s="28">
        <f t="shared" si="12"/>
        <v>-2.8790276379214528E-3</v>
      </c>
      <c r="J405" s="30">
        <v>44454</v>
      </c>
      <c r="K405" s="28">
        <v>141.42257699999999</v>
      </c>
      <c r="L405" s="28">
        <f t="shared" si="13"/>
        <v>-3.2175641170369938E-2</v>
      </c>
      <c r="M405" s="32">
        <v>4354.1899999999996</v>
      </c>
      <c r="N405" s="28">
        <f t="shared" si="13"/>
        <v>-2.0202477653652153E-2</v>
      </c>
    </row>
    <row r="406" spans="1:14">
      <c r="A406" s="30">
        <v>42226</v>
      </c>
      <c r="B406" s="28">
        <v>27.097349000000001</v>
      </c>
      <c r="C406" s="28">
        <f t="shared" si="12"/>
        <v>3.5712186034592086E-2</v>
      </c>
      <c r="D406" s="31">
        <v>2104.1799999999998</v>
      </c>
      <c r="E406" s="28">
        <f t="shared" si="12"/>
        <v>1.2726901022967103E-2</v>
      </c>
      <c r="J406" s="30">
        <v>44461</v>
      </c>
      <c r="K406" s="28">
        <v>139.92385899999999</v>
      </c>
      <c r="L406" s="28">
        <f t="shared" si="13"/>
        <v>-1.0653997950809804E-2</v>
      </c>
      <c r="M406" s="32">
        <v>4352.63</v>
      </c>
      <c r="N406" s="28">
        <f t="shared" si="13"/>
        <v>-3.5833978804946726E-4</v>
      </c>
    </row>
    <row r="407" spans="1:14">
      <c r="A407" s="30">
        <v>42227</v>
      </c>
      <c r="B407" s="28">
        <v>25.687256000000001</v>
      </c>
      <c r="C407" s="28">
        <f t="shared" si="12"/>
        <v>-5.3440906794572023E-2</v>
      </c>
      <c r="D407" s="31">
        <v>2084.0700000000002</v>
      </c>
      <c r="E407" s="28">
        <f t="shared" si="12"/>
        <v>-9.6031299685016367E-3</v>
      </c>
      <c r="J407" s="30">
        <v>44468</v>
      </c>
      <c r="K407" s="28">
        <v>139.135086</v>
      </c>
      <c r="L407" s="28">
        <f t="shared" si="13"/>
        <v>-5.6531074508871654E-3</v>
      </c>
      <c r="M407" s="32">
        <v>4345.72</v>
      </c>
      <c r="N407" s="28">
        <f t="shared" si="13"/>
        <v>-1.5888074068256368E-3</v>
      </c>
    </row>
    <row r="408" spans="1:14">
      <c r="A408" s="30">
        <v>42228</v>
      </c>
      <c r="B408" s="28">
        <v>26.083345000000001</v>
      </c>
      <c r="C408" s="28">
        <f t="shared" si="12"/>
        <v>1.5301994608513279E-2</v>
      </c>
      <c r="D408" s="31">
        <v>2086.0500000000002</v>
      </c>
      <c r="E408" s="28">
        <f t="shared" si="12"/>
        <v>9.4961303213885308E-4</v>
      </c>
      <c r="J408" s="30">
        <v>44475</v>
      </c>
      <c r="K408" s="28">
        <v>139.52948000000001</v>
      </c>
      <c r="L408" s="28">
        <f t="shared" si="13"/>
        <v>2.8306021751888723E-3</v>
      </c>
      <c r="M408" s="32">
        <v>4350.6499999999996</v>
      </c>
      <c r="N408" s="28">
        <f t="shared" si="13"/>
        <v>1.1338065257417821E-3</v>
      </c>
    </row>
    <row r="409" spans="1:14">
      <c r="A409" s="30">
        <v>42229</v>
      </c>
      <c r="B409" s="28">
        <v>26.062975000000002</v>
      </c>
      <c r="C409" s="28">
        <f t="shared" si="12"/>
        <v>-7.8126322379434539E-4</v>
      </c>
      <c r="D409" s="31">
        <v>2083.39</v>
      </c>
      <c r="E409" s="28">
        <f t="shared" si="12"/>
        <v>-1.275950900305485E-3</v>
      </c>
      <c r="J409" s="30">
        <v>44482</v>
      </c>
      <c r="K409" s="28">
        <v>146.67797899999999</v>
      </c>
      <c r="L409" s="28">
        <f t="shared" si="13"/>
        <v>4.9963659715254911E-2</v>
      </c>
      <c r="M409" s="32">
        <v>4519.63</v>
      </c>
      <c r="N409" s="28">
        <f t="shared" si="13"/>
        <v>3.8104872861375143E-2</v>
      </c>
    </row>
    <row r="410" spans="1:14">
      <c r="A410" s="30">
        <v>42230</v>
      </c>
      <c r="B410" s="28">
        <v>26.246307000000002</v>
      </c>
      <c r="C410" s="28">
        <f t="shared" si="12"/>
        <v>7.009568613580125E-3</v>
      </c>
      <c r="D410" s="31">
        <v>2091.54</v>
      </c>
      <c r="E410" s="28">
        <f t="shared" si="12"/>
        <v>3.9042620368306804E-3</v>
      </c>
      <c r="J410" s="30">
        <v>44489</v>
      </c>
      <c r="K410" s="28">
        <v>147.23019400000001</v>
      </c>
      <c r="L410" s="28">
        <f t="shared" si="13"/>
        <v>3.7577427273644669E-3</v>
      </c>
      <c r="M410" s="32">
        <v>4574.79</v>
      </c>
      <c r="N410" s="28">
        <f t="shared" si="13"/>
        <v>1.2130663948150013E-2</v>
      </c>
    </row>
    <row r="411" spans="1:14">
      <c r="A411" s="30">
        <v>42233</v>
      </c>
      <c r="B411" s="28">
        <v>26.517918000000002</v>
      </c>
      <c r="C411" s="28">
        <f t="shared" si="12"/>
        <v>1.0295362022328671E-2</v>
      </c>
      <c r="D411" s="31">
        <v>2102.44</v>
      </c>
      <c r="E411" s="28">
        <f t="shared" si="12"/>
        <v>5.1979382552371483E-3</v>
      </c>
      <c r="J411" s="30">
        <v>44496</v>
      </c>
      <c r="K411" s="28">
        <v>147.92037999999999</v>
      </c>
      <c r="L411" s="28">
        <f t="shared" si="13"/>
        <v>4.6768484890765492E-3</v>
      </c>
      <c r="M411" s="32">
        <v>4630.6499999999996</v>
      </c>
      <c r="N411" s="28">
        <f t="shared" si="13"/>
        <v>1.2136450978832163E-2</v>
      </c>
    </row>
    <row r="412" spans="1:14">
      <c r="A412" s="30">
        <v>42234</v>
      </c>
      <c r="B412" s="28">
        <v>26.368539999999999</v>
      </c>
      <c r="C412" s="28">
        <f t="shared" si="12"/>
        <v>-5.6490225622186259E-3</v>
      </c>
      <c r="D412" s="31">
        <v>2096.92</v>
      </c>
      <c r="E412" s="28">
        <f t="shared" si="12"/>
        <v>-2.6289735480122659E-3</v>
      </c>
      <c r="J412" s="30">
        <v>44503</v>
      </c>
      <c r="K412" s="28">
        <v>148.69931</v>
      </c>
      <c r="L412" s="28">
        <f t="shared" si="13"/>
        <v>5.252057208383093E-3</v>
      </c>
      <c r="M412" s="32">
        <v>4685.25</v>
      </c>
      <c r="N412" s="28">
        <f t="shared" si="13"/>
        <v>1.1722029046191729E-2</v>
      </c>
    </row>
    <row r="413" spans="1:14">
      <c r="A413" s="30">
        <v>42235</v>
      </c>
      <c r="B413" s="28">
        <v>26.031293999999999</v>
      </c>
      <c r="C413" s="28">
        <f t="shared" si="12"/>
        <v>-1.2872203244495759E-2</v>
      </c>
      <c r="D413" s="31">
        <v>2079.61</v>
      </c>
      <c r="E413" s="28">
        <f t="shared" si="12"/>
        <v>-8.2892253214384998E-3</v>
      </c>
      <c r="J413" s="30">
        <v>44510</v>
      </c>
      <c r="K413" s="28">
        <v>149.10395800000001</v>
      </c>
      <c r="L413" s="28">
        <f t="shared" si="13"/>
        <v>2.717554120530841E-3</v>
      </c>
      <c r="M413" s="32">
        <v>4700.8999999999996</v>
      </c>
      <c r="N413" s="28">
        <f t="shared" si="13"/>
        <v>3.334703686315393E-3</v>
      </c>
    </row>
    <row r="414" spans="1:14">
      <c r="A414" s="30">
        <v>42236</v>
      </c>
      <c r="B414" s="28">
        <v>25.497126000000002</v>
      </c>
      <c r="C414" s="28">
        <f t="shared" si="12"/>
        <v>-2.0733689711555661E-2</v>
      </c>
      <c r="D414" s="31">
        <v>2035.73</v>
      </c>
      <c r="E414" s="28">
        <f t="shared" si="12"/>
        <v>-2.1325899205105869E-2</v>
      </c>
      <c r="J414" s="30">
        <v>44517</v>
      </c>
      <c r="K414" s="28">
        <v>159.38325499999999</v>
      </c>
      <c r="L414" s="28">
        <f t="shared" si="13"/>
        <v>6.6667943289075243E-2</v>
      </c>
      <c r="M414" s="32">
        <v>4690.7</v>
      </c>
      <c r="N414" s="28">
        <f t="shared" si="13"/>
        <v>-2.1721546936660564E-3</v>
      </c>
    </row>
    <row r="415" spans="1:14">
      <c r="A415" s="30">
        <v>42237</v>
      </c>
      <c r="B415" s="28">
        <v>23.937650999999999</v>
      </c>
      <c r="C415" s="28">
        <f t="shared" si="12"/>
        <v>-6.3113164915278769E-2</v>
      </c>
      <c r="D415" s="31">
        <v>1970.89</v>
      </c>
      <c r="E415" s="28">
        <f t="shared" si="12"/>
        <v>-3.2369259548499681E-2</v>
      </c>
      <c r="J415" s="30">
        <v>44524</v>
      </c>
      <c r="K415" s="28">
        <v>163.22438</v>
      </c>
      <c r="L415" s="28">
        <f t="shared" si="13"/>
        <v>2.3814107977992462E-2</v>
      </c>
      <c r="M415" s="32">
        <v>4567</v>
      </c>
      <c r="N415" s="28">
        <f t="shared" si="13"/>
        <v>-2.6725290849439295E-2</v>
      </c>
    </row>
    <row r="416" spans="1:14">
      <c r="A416" s="30">
        <v>42240</v>
      </c>
      <c r="B416" s="28">
        <v>23.340109000000002</v>
      </c>
      <c r="C416" s="28">
        <f t="shared" si="12"/>
        <v>-2.5279278073199622E-2</v>
      </c>
      <c r="D416" s="31">
        <v>1893.21</v>
      </c>
      <c r="E416" s="28">
        <f t="shared" si="12"/>
        <v>-4.0211416281175603E-2</v>
      </c>
      <c r="J416" s="30">
        <v>44531</v>
      </c>
      <c r="K416" s="28">
        <v>169.030518</v>
      </c>
      <c r="L416" s="28">
        <f t="shared" si="13"/>
        <v>3.4953459874402251E-2</v>
      </c>
      <c r="M416" s="32">
        <v>4686.75</v>
      </c>
      <c r="N416" s="28">
        <f t="shared" si="13"/>
        <v>2.5882844292301858E-2</v>
      </c>
    </row>
    <row r="417" spans="1:14">
      <c r="A417" s="30">
        <v>42241</v>
      </c>
      <c r="B417" s="28">
        <v>23.480440000000002</v>
      </c>
      <c r="C417" s="28">
        <f t="shared" si="12"/>
        <v>5.9944371951928472E-3</v>
      </c>
      <c r="D417" s="31">
        <v>1867.61</v>
      </c>
      <c r="E417" s="28">
        <f t="shared" si="12"/>
        <v>-1.3614262532188859E-2</v>
      </c>
      <c r="J417" s="30">
        <v>44538</v>
      </c>
      <c r="K417" s="28">
        <v>172.14099100000001</v>
      </c>
      <c r="L417" s="28">
        <f t="shared" si="13"/>
        <v>1.8234577644635326E-2</v>
      </c>
      <c r="M417" s="32">
        <v>4634.09</v>
      </c>
      <c r="N417" s="28">
        <f t="shared" si="13"/>
        <v>-1.1299531007629978E-2</v>
      </c>
    </row>
    <row r="418" spans="1:14">
      <c r="A418" s="30">
        <v>42242</v>
      </c>
      <c r="B418" s="28">
        <v>24.827164</v>
      </c>
      <c r="C418" s="28">
        <f t="shared" si="12"/>
        <v>5.5770642186518386E-2</v>
      </c>
      <c r="D418" s="31">
        <v>1940.51</v>
      </c>
      <c r="E418" s="28">
        <f t="shared" si="12"/>
        <v>3.8291286558614003E-2</v>
      </c>
      <c r="J418" s="30">
        <v>44545</v>
      </c>
      <c r="K418" s="28">
        <v>170.81784099999999</v>
      </c>
      <c r="L418" s="28">
        <f t="shared" si="13"/>
        <v>-7.7161247438952314E-3</v>
      </c>
      <c r="M418" s="32">
        <v>4649.2299999999996</v>
      </c>
      <c r="N418" s="28">
        <f t="shared" si="13"/>
        <v>3.261767002112421E-3</v>
      </c>
    </row>
    <row r="419" spans="1:14">
      <c r="A419" s="30">
        <v>42243</v>
      </c>
      <c r="B419" s="28">
        <v>25.558240999999999</v>
      </c>
      <c r="C419" s="28">
        <f t="shared" si="12"/>
        <v>2.9021432351405651E-2</v>
      </c>
      <c r="D419" s="31">
        <v>1987.66</v>
      </c>
      <c r="E419" s="28">
        <f t="shared" si="12"/>
        <v>2.400724232625184E-2</v>
      </c>
      <c r="J419" s="30">
        <v>44552</v>
      </c>
      <c r="K419" s="28">
        <v>177.038712</v>
      </c>
      <c r="L419" s="28">
        <f t="shared" si="13"/>
        <v>3.5770689121396769E-2</v>
      </c>
      <c r="M419" s="32">
        <v>4786.3500000000004</v>
      </c>
      <c r="N419" s="28">
        <f t="shared" si="13"/>
        <v>2.9066502285060501E-2</v>
      </c>
    </row>
    <row r="420" spans="1:14">
      <c r="A420" s="30">
        <v>42244</v>
      </c>
      <c r="B420" s="28">
        <v>25.641988999999999</v>
      </c>
      <c r="C420" s="28">
        <f t="shared" si="12"/>
        <v>3.2713944718371795E-3</v>
      </c>
      <c r="D420" s="31">
        <v>1988.87</v>
      </c>
      <c r="E420" s="28">
        <f t="shared" si="12"/>
        <v>6.0857080788743101E-4</v>
      </c>
      <c r="J420" s="30">
        <v>44559</v>
      </c>
      <c r="K420" s="28">
        <v>177.44357299999999</v>
      </c>
      <c r="L420" s="28">
        <f t="shared" si="13"/>
        <v>2.2842392591694493E-3</v>
      </c>
      <c r="M420" s="32">
        <v>4793.54</v>
      </c>
      <c r="N420" s="28">
        <f t="shared" si="13"/>
        <v>1.5010613587490155E-3</v>
      </c>
    </row>
    <row r="421" spans="1:14">
      <c r="A421" s="30">
        <v>42247</v>
      </c>
      <c r="B421" s="28">
        <v>25.522031999999999</v>
      </c>
      <c r="C421" s="28">
        <f t="shared" si="12"/>
        <v>-4.6891240154862202E-3</v>
      </c>
      <c r="D421" s="31">
        <v>1972.18</v>
      </c>
      <c r="E421" s="28">
        <f t="shared" si="12"/>
        <v>-8.4271083533501261E-3</v>
      </c>
      <c r="J421" s="30">
        <v>44566</v>
      </c>
      <c r="K421" s="28">
        <v>172.88157699999999</v>
      </c>
      <c r="L421" s="28">
        <f t="shared" si="13"/>
        <v>-2.6045825692136881E-2</v>
      </c>
      <c r="M421" s="32">
        <v>4713.07</v>
      </c>
      <c r="N421" s="28">
        <f t="shared" si="13"/>
        <v>-1.6929677766619664E-2</v>
      </c>
    </row>
    <row r="422" spans="1:14">
      <c r="A422" s="30">
        <v>42248</v>
      </c>
      <c r="B422" s="28">
        <v>24.381278999999999</v>
      </c>
      <c r="C422" s="28">
        <f t="shared" si="12"/>
        <v>-4.5726495420504464E-2</v>
      </c>
      <c r="D422" s="31">
        <v>1913.85</v>
      </c>
      <c r="E422" s="28">
        <f t="shared" si="12"/>
        <v>-3.00226098516122E-2</v>
      </c>
      <c r="J422" s="30">
        <v>44573</v>
      </c>
      <c r="K422" s="28">
        <v>167.66789199999999</v>
      </c>
      <c r="L422" s="28">
        <f t="shared" si="13"/>
        <v>-3.0621644535297043E-2</v>
      </c>
      <c r="M422" s="32">
        <v>4577.1099999999997</v>
      </c>
      <c r="N422" s="28">
        <f t="shared" si="13"/>
        <v>-2.9271705774598037E-2</v>
      </c>
    </row>
    <row r="423" spans="1:14">
      <c r="A423" s="30">
        <v>42249</v>
      </c>
      <c r="B423" s="28">
        <v>25.426966</v>
      </c>
      <c r="C423" s="28">
        <f t="shared" si="12"/>
        <v>4.1994680701496152E-2</v>
      </c>
      <c r="D423" s="31">
        <v>1948.86</v>
      </c>
      <c r="E423" s="28">
        <f t="shared" si="12"/>
        <v>1.8127666183109615E-2</v>
      </c>
      <c r="J423" s="30">
        <v>44580</v>
      </c>
      <c r="K423" s="28">
        <v>157.773697</v>
      </c>
      <c r="L423" s="28">
        <f t="shared" si="13"/>
        <v>-6.0823480715919753E-2</v>
      </c>
      <c r="M423" s="32">
        <v>4356.45</v>
      </c>
      <c r="N423" s="28">
        <f t="shared" si="13"/>
        <v>-4.9410289072075071E-2</v>
      </c>
    </row>
    <row r="424" spans="1:14">
      <c r="A424" s="30">
        <v>42250</v>
      </c>
      <c r="B424" s="28">
        <v>24.981072999999999</v>
      </c>
      <c r="C424" s="28">
        <f t="shared" si="12"/>
        <v>-1.7691806273813771E-2</v>
      </c>
      <c r="D424" s="31">
        <v>1951.13</v>
      </c>
      <c r="E424" s="28">
        <f t="shared" si="12"/>
        <v>1.164105680449443E-3</v>
      </c>
      <c r="J424" s="30">
        <v>44587</v>
      </c>
      <c r="K424" s="28">
        <v>172.41748000000001</v>
      </c>
      <c r="L424" s="28">
        <f t="shared" si="13"/>
        <v>8.87570363610303E-2</v>
      </c>
      <c r="M424" s="32">
        <v>4546.54</v>
      </c>
      <c r="N424" s="28">
        <f t="shared" si="13"/>
        <v>4.2708998601431181E-2</v>
      </c>
    </row>
    <row r="425" spans="1:14">
      <c r="A425" s="30">
        <v>42251</v>
      </c>
      <c r="B425" s="28">
        <v>24.732101</v>
      </c>
      <c r="C425" s="28">
        <f t="shared" si="12"/>
        <v>-1.0016422672325161E-2</v>
      </c>
      <c r="D425" s="31">
        <v>1921.22</v>
      </c>
      <c r="E425" s="28">
        <f t="shared" si="12"/>
        <v>-1.5448291002620419E-2</v>
      </c>
      <c r="J425" s="30">
        <v>44594</v>
      </c>
      <c r="K425" s="28">
        <v>172.63471999999999</v>
      </c>
      <c r="L425" s="28">
        <f t="shared" si="13"/>
        <v>1.2591719670419733E-3</v>
      </c>
      <c r="M425" s="32">
        <v>4521.54</v>
      </c>
      <c r="N425" s="28">
        <f t="shared" si="13"/>
        <v>-5.5138603406309234E-3</v>
      </c>
    </row>
    <row r="426" spans="1:14">
      <c r="A426" s="30">
        <v>42255</v>
      </c>
      <c r="B426" s="28">
        <v>25.420169999999999</v>
      </c>
      <c r="C426" s="28">
        <f t="shared" si="12"/>
        <v>2.7440917920382384E-2</v>
      </c>
      <c r="D426" s="31">
        <v>1969.41</v>
      </c>
      <c r="E426" s="28">
        <f t="shared" si="12"/>
        <v>2.4773604592646017E-2</v>
      </c>
      <c r="J426" s="30">
        <v>44601</v>
      </c>
      <c r="K426" s="28">
        <v>170.83770799999999</v>
      </c>
      <c r="L426" s="28">
        <f t="shared" si="13"/>
        <v>-1.0463887346713616E-2</v>
      </c>
      <c r="M426" s="32">
        <v>4471.07</v>
      </c>
      <c r="N426" s="28">
        <f t="shared" si="13"/>
        <v>-1.1224890198985319E-2</v>
      </c>
    </row>
    <row r="427" spans="1:14">
      <c r="A427" s="30">
        <v>42256</v>
      </c>
      <c r="B427" s="28">
        <v>24.931277999999999</v>
      </c>
      <c r="C427" s="28">
        <f t="shared" si="12"/>
        <v>-1.9419793627024957E-2</v>
      </c>
      <c r="D427" s="31">
        <v>1942.04</v>
      </c>
      <c r="E427" s="28">
        <f t="shared" si="12"/>
        <v>-1.3995038527950136E-2</v>
      </c>
      <c r="J427" s="30">
        <v>44608</v>
      </c>
      <c r="K427" s="28">
        <v>162.46340900000001</v>
      </c>
      <c r="L427" s="28">
        <f t="shared" si="13"/>
        <v>-5.0261228792063822E-2</v>
      </c>
      <c r="M427" s="32">
        <v>4304.76</v>
      </c>
      <c r="N427" s="28">
        <f t="shared" si="13"/>
        <v>-3.7906366385243834E-2</v>
      </c>
    </row>
    <row r="428" spans="1:14">
      <c r="A428" s="30">
        <v>42257</v>
      </c>
      <c r="B428" s="28">
        <v>25.479023000000002</v>
      </c>
      <c r="C428" s="28">
        <f t="shared" si="12"/>
        <v>2.1732326410320062E-2</v>
      </c>
      <c r="D428" s="31">
        <v>1952.29</v>
      </c>
      <c r="E428" s="28">
        <f t="shared" si="12"/>
        <v>5.2640755505400285E-3</v>
      </c>
      <c r="J428" s="30">
        <v>44615</v>
      </c>
      <c r="K428" s="28">
        <v>161.356064</v>
      </c>
      <c r="L428" s="28">
        <f t="shared" si="13"/>
        <v>-6.8393003433129262E-3</v>
      </c>
      <c r="M428" s="32">
        <v>4306.26</v>
      </c>
      <c r="N428" s="28">
        <f t="shared" si="13"/>
        <v>3.4839078649727016E-4</v>
      </c>
    </row>
    <row r="429" spans="1:14">
      <c r="A429" s="30">
        <v>42258</v>
      </c>
      <c r="B429" s="28">
        <v>25.850221999999999</v>
      </c>
      <c r="C429" s="28">
        <f t="shared" si="12"/>
        <v>1.4463702755535946E-2</v>
      </c>
      <c r="D429" s="31">
        <v>1961.05</v>
      </c>
      <c r="E429" s="28">
        <f t="shared" si="12"/>
        <v>4.4770015545705895E-3</v>
      </c>
      <c r="J429" s="30">
        <v>44622</v>
      </c>
      <c r="K429" s="28">
        <v>155.66116299999999</v>
      </c>
      <c r="L429" s="28">
        <f t="shared" si="13"/>
        <v>-3.5931887770697633E-2</v>
      </c>
      <c r="M429" s="32">
        <v>4170.7</v>
      </c>
      <c r="N429" s="28">
        <f t="shared" si="13"/>
        <v>-3.1985890552958439E-2</v>
      </c>
    </row>
    <row r="430" spans="1:14">
      <c r="A430" s="30">
        <v>42261</v>
      </c>
      <c r="B430" s="28">
        <v>26.099188000000002</v>
      </c>
      <c r="C430" s="28">
        <f t="shared" si="12"/>
        <v>9.5850138082776218E-3</v>
      </c>
      <c r="D430" s="31">
        <v>1953.03</v>
      </c>
      <c r="E430" s="28">
        <f t="shared" si="12"/>
        <v>-4.0980313248036339E-3</v>
      </c>
      <c r="J430" s="30">
        <v>44629</v>
      </c>
      <c r="K430" s="28">
        <v>153.337692</v>
      </c>
      <c r="L430" s="28">
        <f t="shared" si="13"/>
        <v>-1.5038986417409124E-2</v>
      </c>
      <c r="M430" s="32">
        <v>4262.45</v>
      </c>
      <c r="N430" s="28">
        <f t="shared" si="13"/>
        <v>2.1760224905284394E-2</v>
      </c>
    </row>
    <row r="431" spans="1:14">
      <c r="A431" s="30">
        <v>42262</v>
      </c>
      <c r="B431" s="28">
        <v>26.318735</v>
      </c>
      <c r="C431" s="28">
        <f t="shared" si="12"/>
        <v>8.3768402584802667E-3</v>
      </c>
      <c r="D431" s="31">
        <v>1978.09</v>
      </c>
      <c r="E431" s="28">
        <f t="shared" si="12"/>
        <v>1.2749719911298718E-2</v>
      </c>
      <c r="J431" s="30">
        <v>44636</v>
      </c>
      <c r="K431" s="28">
        <v>166.91258199999999</v>
      </c>
      <c r="L431" s="28">
        <f t="shared" si="13"/>
        <v>8.4827587787356523E-2</v>
      </c>
      <c r="M431" s="32">
        <v>4511.6099999999997</v>
      </c>
      <c r="N431" s="28">
        <f t="shared" si="13"/>
        <v>5.6809961954166696E-2</v>
      </c>
    </row>
    <row r="432" spans="1:14">
      <c r="A432" s="30">
        <v>42263</v>
      </c>
      <c r="B432" s="28">
        <v>26.348164000000001</v>
      </c>
      <c r="C432" s="28">
        <f t="shared" si="12"/>
        <v>1.1175521483760529E-3</v>
      </c>
      <c r="D432" s="31">
        <v>1995.31</v>
      </c>
      <c r="E432" s="28">
        <f t="shared" si="12"/>
        <v>8.6676940705017226E-3</v>
      </c>
      <c r="J432" s="30">
        <v>44643</v>
      </c>
      <c r="K432" s="28">
        <v>176.93798799999999</v>
      </c>
      <c r="L432" s="28">
        <f t="shared" si="13"/>
        <v>5.832910661901422E-2</v>
      </c>
      <c r="M432" s="32">
        <v>4631.6000000000004</v>
      </c>
      <c r="N432" s="28">
        <f t="shared" si="13"/>
        <v>2.624830646625715E-2</v>
      </c>
    </row>
    <row r="433" spans="1:14">
      <c r="A433" s="30">
        <v>42264</v>
      </c>
      <c r="B433" s="28">
        <v>25.784582</v>
      </c>
      <c r="C433" s="28">
        <f t="shared" si="12"/>
        <v>-2.1621878744282622E-2</v>
      </c>
      <c r="D433" s="31">
        <v>1990.2</v>
      </c>
      <c r="E433" s="28">
        <f t="shared" si="12"/>
        <v>-2.5642905425419791E-3</v>
      </c>
      <c r="J433" s="30">
        <v>44650</v>
      </c>
      <c r="K433" s="28">
        <v>173.08206200000001</v>
      </c>
      <c r="L433" s="28">
        <f t="shared" si="13"/>
        <v>-2.2033492052645407E-2</v>
      </c>
      <c r="M433" s="32">
        <v>4525.12</v>
      </c>
      <c r="N433" s="28">
        <f t="shared" si="13"/>
        <v>-2.3258284618706451E-2</v>
      </c>
    </row>
    <row r="434" spans="1:14">
      <c r="A434" s="30">
        <v>42265</v>
      </c>
      <c r="B434" s="28">
        <v>25.6782</v>
      </c>
      <c r="C434" s="28">
        <f t="shared" si="12"/>
        <v>-4.1343334889944582E-3</v>
      </c>
      <c r="D434" s="31">
        <v>1958.03</v>
      </c>
      <c r="E434" s="28">
        <f t="shared" si="12"/>
        <v>-1.6296270451088189E-2</v>
      </c>
      <c r="J434" s="30">
        <v>44657</v>
      </c>
      <c r="K434" s="28">
        <v>165.76568599999999</v>
      </c>
      <c r="L434" s="28">
        <f t="shared" si="13"/>
        <v>-4.3190567762724293E-2</v>
      </c>
      <c r="M434" s="32">
        <v>4397.45</v>
      </c>
      <c r="N434" s="28">
        <f t="shared" si="13"/>
        <v>-2.8619268668984281E-2</v>
      </c>
    </row>
    <row r="435" spans="1:14">
      <c r="A435" s="30">
        <v>42268</v>
      </c>
      <c r="B435" s="28">
        <v>26.076557000000001</v>
      </c>
      <c r="C435" s="28">
        <f t="shared" si="12"/>
        <v>1.5394328565137193E-2</v>
      </c>
      <c r="D435" s="31">
        <v>1966.97</v>
      </c>
      <c r="E435" s="28">
        <f t="shared" si="12"/>
        <v>4.5554218905156504E-3</v>
      </c>
      <c r="J435" s="30">
        <v>44664</v>
      </c>
      <c r="K435" s="28">
        <v>165.50860599999999</v>
      </c>
      <c r="L435" s="28">
        <f t="shared" si="13"/>
        <v>-1.552067623810496E-3</v>
      </c>
      <c r="M435" s="32">
        <v>4462.21</v>
      </c>
      <c r="N435" s="28">
        <f t="shared" si="13"/>
        <v>1.4619331531388174E-2</v>
      </c>
    </row>
    <row r="436" spans="1:14">
      <c r="A436" s="30">
        <v>42269</v>
      </c>
      <c r="B436" s="28">
        <v>25.666885000000001</v>
      </c>
      <c r="C436" s="28">
        <f t="shared" si="12"/>
        <v>-1.5835071829391756E-2</v>
      </c>
      <c r="D436" s="31">
        <v>1942.74</v>
      </c>
      <c r="E436" s="28">
        <f t="shared" si="12"/>
        <v>-1.2394939887069493E-2</v>
      </c>
      <c r="J436" s="30">
        <v>44671</v>
      </c>
      <c r="K436" s="28">
        <v>155.028381</v>
      </c>
      <c r="L436" s="28">
        <f t="shared" si="13"/>
        <v>-6.5414990081460928E-2</v>
      </c>
      <c r="M436" s="32">
        <v>4175.2</v>
      </c>
      <c r="N436" s="28">
        <f t="shared" si="13"/>
        <v>-6.648189765261206E-2</v>
      </c>
    </row>
    <row r="437" spans="1:14">
      <c r="A437" s="30">
        <v>42270</v>
      </c>
      <c r="B437" s="28">
        <v>25.875114</v>
      </c>
      <c r="C437" s="28">
        <f t="shared" si="12"/>
        <v>8.0800177300284024E-3</v>
      </c>
      <c r="D437" s="31">
        <v>1938.76</v>
      </c>
      <c r="E437" s="28">
        <f t="shared" si="12"/>
        <v>-2.0507542933684945E-3</v>
      </c>
      <c r="J437" s="30">
        <v>44678</v>
      </c>
      <c r="K437" s="28">
        <v>157.67806999999999</v>
      </c>
      <c r="L437" s="28">
        <f t="shared" si="13"/>
        <v>1.6947219406146335E-2</v>
      </c>
      <c r="M437" s="32">
        <v>4175.4799999999996</v>
      </c>
      <c r="N437" s="28">
        <f t="shared" si="13"/>
        <v>6.7060407081764428E-5</v>
      </c>
    </row>
    <row r="438" spans="1:14">
      <c r="A438" s="30">
        <v>42271</v>
      </c>
      <c r="B438" s="28">
        <v>26.029028</v>
      </c>
      <c r="C438" s="28">
        <f t="shared" si="12"/>
        <v>5.9307194073276179E-3</v>
      </c>
      <c r="D438" s="31">
        <v>1932.24</v>
      </c>
      <c r="E438" s="28">
        <f t="shared" si="12"/>
        <v>-3.3686417802160917E-3</v>
      </c>
      <c r="J438" s="30">
        <v>44685</v>
      </c>
      <c r="K438" s="28">
        <v>152.76423600000001</v>
      </c>
      <c r="L438" s="28">
        <f t="shared" si="13"/>
        <v>-3.1659631044805632E-2</v>
      </c>
      <c r="M438" s="32">
        <v>4001.05</v>
      </c>
      <c r="N438" s="28">
        <f t="shared" si="13"/>
        <v>-4.2672495081354317E-2</v>
      </c>
    </row>
    <row r="439" spans="1:14">
      <c r="A439" s="30">
        <v>42272</v>
      </c>
      <c r="B439" s="28">
        <v>25.963383</v>
      </c>
      <c r="C439" s="28">
        <f t="shared" si="12"/>
        <v>-2.5251775641728343E-3</v>
      </c>
      <c r="D439" s="31">
        <v>1931.34</v>
      </c>
      <c r="E439" s="28">
        <f t="shared" si="12"/>
        <v>-4.6588915786858695E-4</v>
      </c>
      <c r="J439" s="30">
        <v>44692</v>
      </c>
      <c r="K439" s="28">
        <v>147.770599</v>
      </c>
      <c r="L439" s="28">
        <f t="shared" si="13"/>
        <v>-3.323472724091156E-2</v>
      </c>
      <c r="M439" s="32">
        <v>4088.85</v>
      </c>
      <c r="N439" s="28">
        <f t="shared" si="13"/>
        <v>2.1706930251078289E-2</v>
      </c>
    </row>
    <row r="440" spans="1:14">
      <c r="A440" s="30">
        <v>42275</v>
      </c>
      <c r="B440" s="28">
        <v>25.449598000000002</v>
      </c>
      <c r="C440" s="28">
        <f t="shared" si="12"/>
        <v>-1.9987252022104725E-2</v>
      </c>
      <c r="D440" s="31">
        <v>1881.77</v>
      </c>
      <c r="E440" s="28">
        <f t="shared" si="12"/>
        <v>-2.6001239239395291E-2</v>
      </c>
      <c r="J440" s="30">
        <v>44699</v>
      </c>
      <c r="K440" s="28">
        <v>138.97801200000001</v>
      </c>
      <c r="L440" s="28">
        <f t="shared" si="13"/>
        <v>-6.1345330936691582E-2</v>
      </c>
      <c r="M440" s="32">
        <v>3941.48</v>
      </c>
      <c r="N440" s="28">
        <f t="shared" si="13"/>
        <v>-3.6707469629246044E-2</v>
      </c>
    </row>
    <row r="441" spans="1:14">
      <c r="A441" s="30">
        <v>42276</v>
      </c>
      <c r="B441" s="28">
        <v>24.684571999999999</v>
      </c>
      <c r="C441" s="28">
        <f t="shared" si="12"/>
        <v>-3.0521514098120615E-2</v>
      </c>
      <c r="D441" s="31">
        <v>1884.09</v>
      </c>
      <c r="E441" s="28">
        <f t="shared" si="12"/>
        <v>1.2321224333906237E-3</v>
      </c>
      <c r="J441" s="30">
        <v>44706</v>
      </c>
      <c r="K441" s="28">
        <v>147.37451200000001</v>
      </c>
      <c r="L441" s="28">
        <f t="shared" si="13"/>
        <v>5.8661314003865234E-2</v>
      </c>
      <c r="M441" s="32">
        <v>4132.1499999999996</v>
      </c>
      <c r="N441" s="28">
        <f t="shared" si="13"/>
        <v>4.7241565336776939E-2</v>
      </c>
    </row>
    <row r="442" spans="1:14">
      <c r="A442" s="30">
        <v>42277</v>
      </c>
      <c r="B442" s="28">
        <v>24.965235</v>
      </c>
      <c r="C442" s="28">
        <f t="shared" si="12"/>
        <v>1.1305823990860201E-2</v>
      </c>
      <c r="D442" s="31">
        <v>1920.03</v>
      </c>
      <c r="E442" s="28">
        <f t="shared" si="12"/>
        <v>1.8895865203796398E-2</v>
      </c>
      <c r="J442" s="30">
        <v>44713</v>
      </c>
      <c r="K442" s="28">
        <v>147.24580399999999</v>
      </c>
      <c r="L442" s="28">
        <f t="shared" si="13"/>
        <v>-8.7372120113992323E-4</v>
      </c>
      <c r="M442" s="32">
        <v>4160.68</v>
      </c>
      <c r="N442" s="28">
        <f t="shared" si="13"/>
        <v>6.8806698218489967E-3</v>
      </c>
    </row>
    <row r="443" spans="1:14">
      <c r="A443" s="30">
        <v>42278</v>
      </c>
      <c r="B443" s="28">
        <v>24.802264999999998</v>
      </c>
      <c r="C443" s="28">
        <f t="shared" si="12"/>
        <v>-6.5492774410105216E-3</v>
      </c>
      <c r="D443" s="31">
        <v>1923.82</v>
      </c>
      <c r="E443" s="28">
        <f t="shared" si="12"/>
        <v>1.9719818557877231E-3</v>
      </c>
      <c r="J443" s="30">
        <v>44720</v>
      </c>
      <c r="K443" s="28">
        <v>131.45285000000001</v>
      </c>
      <c r="L443" s="28">
        <f t="shared" si="13"/>
        <v>-0.11345509418168832</v>
      </c>
      <c r="M443" s="32">
        <v>3735.48</v>
      </c>
      <c r="N443" s="28">
        <f t="shared" si="13"/>
        <v>-0.10780219806947032</v>
      </c>
    </row>
    <row r="444" spans="1:14">
      <c r="A444" s="30">
        <v>42279</v>
      </c>
      <c r="B444" s="28">
        <v>24.983333999999999</v>
      </c>
      <c r="C444" s="28">
        <f t="shared" si="12"/>
        <v>7.273982919244585E-3</v>
      </c>
      <c r="D444" s="31">
        <v>1951.36</v>
      </c>
      <c r="E444" s="28">
        <f t="shared" si="12"/>
        <v>1.421377260428928E-2</v>
      </c>
      <c r="J444" s="30">
        <v>44727</v>
      </c>
      <c r="K444" s="28">
        <v>134.53222700000001</v>
      </c>
      <c r="L444" s="28">
        <f t="shared" si="13"/>
        <v>2.3155544100450495E-2</v>
      </c>
      <c r="M444" s="32">
        <v>3764.79</v>
      </c>
      <c r="N444" s="28">
        <f t="shared" si="13"/>
        <v>7.8157584200561504E-3</v>
      </c>
    </row>
    <row r="445" spans="1:14">
      <c r="A445" s="30">
        <v>42282</v>
      </c>
      <c r="B445" s="28">
        <v>25.073865999999999</v>
      </c>
      <c r="C445" s="28">
        <f t="shared" si="12"/>
        <v>3.6171459333766308E-3</v>
      </c>
      <c r="D445" s="31">
        <v>1987.05</v>
      </c>
      <c r="E445" s="28">
        <f t="shared" si="12"/>
        <v>1.8124561438544923E-2</v>
      </c>
      <c r="J445" s="30">
        <v>44734</v>
      </c>
      <c r="K445" s="28">
        <v>136.08677700000001</v>
      </c>
      <c r="L445" s="28">
        <f t="shared" si="13"/>
        <v>1.1488972145921528E-2</v>
      </c>
      <c r="M445" s="32">
        <v>3821.55</v>
      </c>
      <c r="N445" s="28">
        <f t="shared" si="13"/>
        <v>1.4964016678962052E-2</v>
      </c>
    </row>
    <row r="446" spans="1:14">
      <c r="A446" s="30">
        <v>42283</v>
      </c>
      <c r="B446" s="28">
        <v>25.193829999999998</v>
      </c>
      <c r="C446" s="28">
        <f t="shared" si="12"/>
        <v>4.7730147706895711E-3</v>
      </c>
      <c r="D446" s="31">
        <v>1979.92</v>
      </c>
      <c r="E446" s="28">
        <f t="shared" si="12"/>
        <v>-3.5946869664685399E-3</v>
      </c>
      <c r="J446" s="30">
        <v>44741</v>
      </c>
      <c r="K446" s="28">
        <v>140.16619900000001</v>
      </c>
      <c r="L446" s="28">
        <f t="shared" si="13"/>
        <v>2.9536105800315068E-2</v>
      </c>
      <c r="M446" s="32">
        <v>3831.39</v>
      </c>
      <c r="N446" s="28">
        <f t="shared" si="13"/>
        <v>2.571562150651476E-3</v>
      </c>
    </row>
    <row r="447" spans="1:14">
      <c r="A447" s="30">
        <v>42284</v>
      </c>
      <c r="B447" s="28">
        <v>25.073865999999999</v>
      </c>
      <c r="C447" s="28">
        <f t="shared" si="12"/>
        <v>-4.7730147706896587E-3</v>
      </c>
      <c r="D447" s="31">
        <v>1995.83</v>
      </c>
      <c r="E447" s="28">
        <f t="shared" si="12"/>
        <v>8.0035640716168491E-3</v>
      </c>
      <c r="J447" s="30">
        <v>44748</v>
      </c>
      <c r="K447" s="28">
        <v>144.42385899999999</v>
      </c>
      <c r="L447" s="28">
        <f t="shared" si="13"/>
        <v>2.9923587106686078E-2</v>
      </c>
      <c r="M447" s="32">
        <v>3818.8</v>
      </c>
      <c r="N447" s="28">
        <f t="shared" si="13"/>
        <v>-3.2914244917103203E-3</v>
      </c>
    </row>
    <row r="448" spans="1:14">
      <c r="A448" s="30">
        <v>42285</v>
      </c>
      <c r="B448" s="28">
        <v>24.784157</v>
      </c>
      <c r="C448" s="28">
        <f t="shared" si="12"/>
        <v>-1.162149011179581E-2</v>
      </c>
      <c r="D448" s="31">
        <v>2013.43</v>
      </c>
      <c r="E448" s="28">
        <f t="shared" si="12"/>
        <v>8.7797314496566338E-3</v>
      </c>
      <c r="J448" s="30">
        <v>44755</v>
      </c>
      <c r="K448" s="28">
        <v>149.51326</v>
      </c>
      <c r="L448" s="28">
        <f t="shared" si="13"/>
        <v>3.4632643207837009E-2</v>
      </c>
      <c r="M448" s="32">
        <v>3936.69</v>
      </c>
      <c r="N448" s="28">
        <f t="shared" si="13"/>
        <v>3.0404031562210044E-2</v>
      </c>
    </row>
    <row r="449" spans="1:14">
      <c r="A449" s="30">
        <v>42286</v>
      </c>
      <c r="B449" s="28">
        <v>25.377167</v>
      </c>
      <c r="C449" s="28">
        <f t="shared" si="12"/>
        <v>2.3645214343907765E-2</v>
      </c>
      <c r="D449" s="31">
        <v>2014.89</v>
      </c>
      <c r="E449" s="28">
        <f t="shared" si="12"/>
        <v>7.2486796675928192E-4</v>
      </c>
      <c r="J449" s="30">
        <v>44762</v>
      </c>
      <c r="K449" s="28">
        <v>150.107361</v>
      </c>
      <c r="L449" s="28">
        <f t="shared" si="13"/>
        <v>3.9656935268488182E-3</v>
      </c>
      <c r="M449" s="32">
        <v>3921.05</v>
      </c>
      <c r="N449" s="28">
        <f t="shared" si="13"/>
        <v>-3.9807936260426238E-3</v>
      </c>
    </row>
    <row r="450" spans="1:14">
      <c r="A450" s="30">
        <v>42289</v>
      </c>
      <c r="B450" s="28">
        <v>25.259474000000001</v>
      </c>
      <c r="C450" s="28">
        <f t="shared" si="12"/>
        <v>-4.648539461169993E-3</v>
      </c>
      <c r="D450" s="31">
        <v>2017.46</v>
      </c>
      <c r="E450" s="28">
        <f t="shared" si="12"/>
        <v>1.2746911096436508E-3</v>
      </c>
      <c r="J450" s="30">
        <v>44769</v>
      </c>
      <c r="K450" s="28">
        <v>158.43454</v>
      </c>
      <c r="L450" s="28">
        <f t="shared" si="13"/>
        <v>5.3990733088686765E-2</v>
      </c>
      <c r="M450" s="32">
        <v>4091.19</v>
      </c>
      <c r="N450" s="28">
        <f t="shared" si="13"/>
        <v>4.247640620325957E-2</v>
      </c>
    </row>
    <row r="451" spans="1:14">
      <c r="A451" s="30">
        <v>42290</v>
      </c>
      <c r="B451" s="28">
        <v>25.302475000000001</v>
      </c>
      <c r="C451" s="28">
        <f t="shared" si="12"/>
        <v>1.7009237665001559E-3</v>
      </c>
      <c r="D451" s="31">
        <v>2003.69</v>
      </c>
      <c r="E451" s="28">
        <f t="shared" si="12"/>
        <v>-6.8488138094229302E-3</v>
      </c>
      <c r="J451" s="30">
        <v>44776</v>
      </c>
      <c r="K451" s="28">
        <v>163.296188</v>
      </c>
      <c r="L451" s="28">
        <f t="shared" si="13"/>
        <v>3.022414499923309E-2</v>
      </c>
      <c r="M451" s="32">
        <v>4122.47</v>
      </c>
      <c r="N451" s="28">
        <f t="shared" si="13"/>
        <v>7.6166170063109856E-3</v>
      </c>
    </row>
    <row r="452" spans="1:14">
      <c r="A452" s="30">
        <v>42291</v>
      </c>
      <c r="B452" s="28">
        <v>24.944859999999998</v>
      </c>
      <c r="C452" s="28">
        <f t="shared" si="12"/>
        <v>-1.4234428085683879E-2</v>
      </c>
      <c r="D452" s="31">
        <v>1994.24</v>
      </c>
      <c r="E452" s="28">
        <f t="shared" si="12"/>
        <v>-4.7274552579458298E-3</v>
      </c>
      <c r="J452" s="30">
        <v>44783</v>
      </c>
      <c r="K452" s="28">
        <v>171.56433100000001</v>
      </c>
      <c r="L452" s="28">
        <f t="shared" si="13"/>
        <v>4.9392647977888469E-2</v>
      </c>
      <c r="M452" s="32">
        <v>4305.2</v>
      </c>
      <c r="N452" s="28">
        <f t="shared" si="13"/>
        <v>4.337109612052676E-2</v>
      </c>
    </row>
    <row r="453" spans="1:14">
      <c r="A453" s="30">
        <v>42292</v>
      </c>
      <c r="B453" s="28">
        <v>25.318318999999999</v>
      </c>
      <c r="C453" s="28">
        <f t="shared" ref="C453:E516" si="14">LN(B453/B452)</f>
        <v>1.4860415916589232E-2</v>
      </c>
      <c r="D453" s="31">
        <v>2023.86</v>
      </c>
      <c r="E453" s="28">
        <f t="shared" si="14"/>
        <v>1.4743553692310356E-2</v>
      </c>
      <c r="J453" s="30">
        <v>44790</v>
      </c>
      <c r="K453" s="28">
        <v>165.81346099999999</v>
      </c>
      <c r="L453" s="28">
        <f t="shared" ref="L453:N516" si="15">LN(K453/K452)</f>
        <v>-3.4094876558204291E-2</v>
      </c>
      <c r="M453" s="32">
        <v>4128.7299999999996</v>
      </c>
      <c r="N453" s="28">
        <f t="shared" si="15"/>
        <v>-4.1853740778014785E-2</v>
      </c>
    </row>
    <row r="454" spans="1:14">
      <c r="A454" s="30">
        <v>42293</v>
      </c>
      <c r="B454" s="28">
        <v>25.132721</v>
      </c>
      <c r="C454" s="28">
        <f t="shared" si="14"/>
        <v>-7.3575822128939903E-3</v>
      </c>
      <c r="D454" s="31">
        <v>2033.11</v>
      </c>
      <c r="E454" s="28">
        <f t="shared" si="14"/>
        <v>4.5600613407668789E-3</v>
      </c>
      <c r="J454" s="30">
        <v>44797</v>
      </c>
      <c r="K454" s="28">
        <v>157.56395000000001</v>
      </c>
      <c r="L454" s="28">
        <f t="shared" si="15"/>
        <v>-5.1032019981004734E-2</v>
      </c>
      <c r="M454" s="32">
        <v>3986.16</v>
      </c>
      <c r="N454" s="28">
        <f t="shared" si="15"/>
        <v>-3.5141492153275354E-2</v>
      </c>
    </row>
    <row r="455" spans="1:14">
      <c r="A455" s="30">
        <v>42296</v>
      </c>
      <c r="B455" s="28">
        <v>25.288893000000002</v>
      </c>
      <c r="C455" s="28">
        <f t="shared" si="14"/>
        <v>6.1946648280654477E-3</v>
      </c>
      <c r="D455" s="31">
        <v>2033.66</v>
      </c>
      <c r="E455" s="28">
        <f t="shared" si="14"/>
        <v>2.7048493195005823E-4</v>
      </c>
      <c r="J455" s="30">
        <v>44804</v>
      </c>
      <c r="K455" s="28">
        <v>153.22105400000001</v>
      </c>
      <c r="L455" s="28">
        <f t="shared" si="15"/>
        <v>-2.7949731540601798E-2</v>
      </c>
      <c r="M455" s="32">
        <v>3908.19</v>
      </c>
      <c r="N455" s="28">
        <f t="shared" si="15"/>
        <v>-1.9754010258969085E-2</v>
      </c>
    </row>
    <row r="456" spans="1:14">
      <c r="A456" s="30">
        <v>42297</v>
      </c>
      <c r="B456" s="28">
        <v>25.750622</v>
      </c>
      <c r="C456" s="28">
        <f t="shared" si="14"/>
        <v>1.8093494675967062E-2</v>
      </c>
      <c r="D456" s="31">
        <v>2030.77</v>
      </c>
      <c r="E456" s="28">
        <f t="shared" si="14"/>
        <v>-1.4220938665690213E-3</v>
      </c>
      <c r="J456" s="30">
        <v>44811</v>
      </c>
      <c r="K456" s="28">
        <v>152.53688</v>
      </c>
      <c r="L456" s="28">
        <f t="shared" si="15"/>
        <v>-4.4752731871221191E-3</v>
      </c>
      <c r="M456" s="32">
        <v>3932.69</v>
      </c>
      <c r="N456" s="28">
        <f t="shared" si="15"/>
        <v>6.2493188864440764E-3</v>
      </c>
    </row>
    <row r="457" spans="1:14">
      <c r="A457" s="30">
        <v>42298</v>
      </c>
      <c r="B457" s="28">
        <v>25.748363000000001</v>
      </c>
      <c r="C457" s="28">
        <f t="shared" si="14"/>
        <v>-8.7729884441261737E-5</v>
      </c>
      <c r="D457" s="31">
        <v>2018.94</v>
      </c>
      <c r="E457" s="28">
        <f t="shared" si="14"/>
        <v>-5.8424102714401318E-3</v>
      </c>
      <c r="J457" s="30">
        <v>44818</v>
      </c>
      <c r="K457" s="28">
        <v>155.570953</v>
      </c>
      <c r="L457" s="28">
        <f t="shared" si="15"/>
        <v>1.969551406459626E-2</v>
      </c>
      <c r="M457" s="32">
        <v>3855.93</v>
      </c>
      <c r="N457" s="28">
        <f t="shared" si="15"/>
        <v>-1.9711447047640038E-2</v>
      </c>
    </row>
    <row r="458" spans="1:14">
      <c r="A458" s="30">
        <v>42299</v>
      </c>
      <c r="B458" s="28">
        <v>26.142196999999999</v>
      </c>
      <c r="C458" s="28">
        <f t="shared" si="14"/>
        <v>1.5179699827792251E-2</v>
      </c>
      <c r="D458" s="31">
        <v>2052.5100000000002</v>
      </c>
      <c r="E458" s="28">
        <f t="shared" si="14"/>
        <v>1.6490813232663316E-2</v>
      </c>
      <c r="J458" s="30">
        <v>44825</v>
      </c>
      <c r="K458" s="28">
        <v>150.474503</v>
      </c>
      <c r="L458" s="28">
        <f t="shared" si="15"/>
        <v>-3.3308262385860293E-2</v>
      </c>
      <c r="M458" s="32">
        <v>3647.29</v>
      </c>
      <c r="N458" s="28">
        <f t="shared" si="15"/>
        <v>-5.5627796979778397E-2</v>
      </c>
    </row>
    <row r="459" spans="1:14">
      <c r="A459" s="30">
        <v>42300</v>
      </c>
      <c r="B459" s="28">
        <v>26.952490000000001</v>
      </c>
      <c r="C459" s="28">
        <f t="shared" si="14"/>
        <v>3.0524934306804773E-2</v>
      </c>
      <c r="D459" s="31">
        <v>2075.15</v>
      </c>
      <c r="E459" s="28">
        <f t="shared" si="14"/>
        <v>1.0970005786788946E-2</v>
      </c>
      <c r="J459" s="30">
        <v>44832</v>
      </c>
      <c r="K459" s="28">
        <v>144.86244199999999</v>
      </c>
      <c r="L459" s="28">
        <f t="shared" si="15"/>
        <v>-3.8009038273389646E-2</v>
      </c>
      <c r="M459" s="32">
        <v>3790.93</v>
      </c>
      <c r="N459" s="28">
        <f t="shared" si="15"/>
        <v>3.8626945501931749E-2</v>
      </c>
    </row>
    <row r="460" spans="1:14">
      <c r="A460" s="30">
        <v>42303</v>
      </c>
      <c r="B460" s="28">
        <v>26.092397999999999</v>
      </c>
      <c r="C460" s="28">
        <f t="shared" si="14"/>
        <v>-3.2431678872843622E-2</v>
      </c>
      <c r="D460" s="31">
        <v>2071.1799999999998</v>
      </c>
      <c r="E460" s="28">
        <f t="shared" si="14"/>
        <v>-1.9149470559137484E-3</v>
      </c>
      <c r="J460" s="30">
        <v>44839</v>
      </c>
      <c r="K460" s="28">
        <v>137.80276499999999</v>
      </c>
      <c r="L460" s="28">
        <f t="shared" si="15"/>
        <v>-4.9961192590459877E-2</v>
      </c>
      <c r="M460" s="32">
        <v>3588.84</v>
      </c>
      <c r="N460" s="28">
        <f t="shared" si="15"/>
        <v>-5.478234107011877E-2</v>
      </c>
    </row>
    <row r="461" spans="1:14">
      <c r="A461" s="30">
        <v>42304</v>
      </c>
      <c r="B461" s="28">
        <v>25.927174000000001</v>
      </c>
      <c r="C461" s="28">
        <f t="shared" si="14"/>
        <v>-6.3523996547443159E-3</v>
      </c>
      <c r="D461" s="31">
        <v>2065.89</v>
      </c>
      <c r="E461" s="28">
        <f t="shared" si="14"/>
        <v>-2.5573668722574231E-3</v>
      </c>
      <c r="J461" s="30">
        <v>44846</v>
      </c>
      <c r="K461" s="28">
        <v>142.532364</v>
      </c>
      <c r="L461" s="28">
        <f t="shared" si="15"/>
        <v>3.3745666020993326E-2</v>
      </c>
      <c r="M461" s="32">
        <v>3719.98</v>
      </c>
      <c r="N461" s="28">
        <f t="shared" si="15"/>
        <v>3.5889261417931091E-2</v>
      </c>
    </row>
    <row r="462" spans="1:14">
      <c r="A462" s="30">
        <v>42305</v>
      </c>
      <c r="B462" s="28">
        <v>26.995494999999998</v>
      </c>
      <c r="C462" s="28">
        <f t="shared" si="14"/>
        <v>4.0378392350775269E-2</v>
      </c>
      <c r="D462" s="31">
        <v>2090.35</v>
      </c>
      <c r="E462" s="28">
        <f t="shared" si="14"/>
        <v>1.177038977262058E-2</v>
      </c>
      <c r="J462" s="30">
        <v>44853</v>
      </c>
      <c r="K462" s="28">
        <v>151.049576</v>
      </c>
      <c r="L462" s="28">
        <f t="shared" si="15"/>
        <v>5.8039011099905093E-2</v>
      </c>
      <c r="M462" s="32">
        <v>3859.11</v>
      </c>
      <c r="N462" s="28">
        <f t="shared" si="15"/>
        <v>3.6718295016699307E-2</v>
      </c>
    </row>
    <row r="463" spans="1:14">
      <c r="A463" s="30">
        <v>42306</v>
      </c>
      <c r="B463" s="28">
        <v>27.280681999999999</v>
      </c>
      <c r="C463" s="28">
        <f t="shared" si="14"/>
        <v>1.0508832431608137E-2</v>
      </c>
      <c r="D463" s="31">
        <v>2089.41</v>
      </c>
      <c r="E463" s="28">
        <f t="shared" si="14"/>
        <v>-4.4978659820061288E-4</v>
      </c>
      <c r="J463" s="30">
        <v>44860</v>
      </c>
      <c r="K463" s="28">
        <v>149.373886</v>
      </c>
      <c r="L463" s="28">
        <f t="shared" si="15"/>
        <v>-1.1155635893817214E-2</v>
      </c>
      <c r="M463" s="32">
        <v>3856.1</v>
      </c>
      <c r="N463" s="28">
        <f t="shared" si="15"/>
        <v>-7.8027692122843587E-4</v>
      </c>
    </row>
    <row r="464" spans="1:14">
      <c r="A464" s="30">
        <v>42307</v>
      </c>
      <c r="B464" s="28">
        <v>27.047552</v>
      </c>
      <c r="C464" s="28">
        <f t="shared" si="14"/>
        <v>-8.5823305413500542E-3</v>
      </c>
      <c r="D464" s="31">
        <v>2079.36</v>
      </c>
      <c r="E464" s="28">
        <f t="shared" si="14"/>
        <v>-4.8215754142581276E-3</v>
      </c>
      <c r="J464" s="30">
        <v>44867</v>
      </c>
      <c r="K464" s="28">
        <v>138.31832900000001</v>
      </c>
      <c r="L464" s="28">
        <f t="shared" si="15"/>
        <v>-7.6894704297792549E-2</v>
      </c>
      <c r="M464" s="32">
        <v>3828.11</v>
      </c>
      <c r="N464" s="28">
        <f t="shared" si="15"/>
        <v>-7.285101211955994E-3</v>
      </c>
    </row>
    <row r="465" spans="1:14">
      <c r="A465" s="30">
        <v>42310</v>
      </c>
      <c r="B465" s="28">
        <v>27.427800999999999</v>
      </c>
      <c r="C465" s="28">
        <f t="shared" si="14"/>
        <v>1.3960631914894564E-2</v>
      </c>
      <c r="D465" s="31">
        <v>2104.0500000000002</v>
      </c>
      <c r="E465" s="28">
        <f t="shared" si="14"/>
        <v>1.1803904793109323E-2</v>
      </c>
      <c r="J465" s="30">
        <v>44874</v>
      </c>
      <c r="K465" s="28">
        <v>149.01585399999999</v>
      </c>
      <c r="L465" s="28">
        <f t="shared" si="15"/>
        <v>7.4494942350071078E-2</v>
      </c>
      <c r="M465" s="32">
        <v>3991.73</v>
      </c>
      <c r="N465" s="28">
        <f t="shared" si="15"/>
        <v>4.1853512081276981E-2</v>
      </c>
    </row>
    <row r="466" spans="1:14">
      <c r="A466" s="30">
        <v>42311</v>
      </c>
      <c r="B466" s="28">
        <v>27.742411000000001</v>
      </c>
      <c r="C466" s="28">
        <f t="shared" si="14"/>
        <v>1.1405191276870447E-2</v>
      </c>
      <c r="D466" s="31">
        <v>2109.79</v>
      </c>
      <c r="E466" s="28">
        <f t="shared" si="14"/>
        <v>2.7243576169235862E-3</v>
      </c>
      <c r="J466" s="30">
        <v>44881</v>
      </c>
      <c r="K466" s="28">
        <v>149.154877</v>
      </c>
      <c r="L466" s="28">
        <f t="shared" si="15"/>
        <v>9.3250608205524947E-4</v>
      </c>
      <c r="M466" s="32">
        <v>4003.58</v>
      </c>
      <c r="N466" s="28">
        <f t="shared" si="15"/>
        <v>2.9642399548943563E-3</v>
      </c>
    </row>
    <row r="467" spans="1:14">
      <c r="A467" s="30">
        <v>42312</v>
      </c>
      <c r="B467" s="28">
        <v>27.613399999999999</v>
      </c>
      <c r="C467" s="28">
        <f t="shared" si="14"/>
        <v>-4.6611631642100131E-3</v>
      </c>
      <c r="D467" s="31">
        <v>2102.31</v>
      </c>
      <c r="E467" s="28">
        <f t="shared" si="14"/>
        <v>-3.5516762958985523E-3</v>
      </c>
      <c r="J467" s="30">
        <v>44888</v>
      </c>
      <c r="K467" s="28">
        <v>140.20642100000001</v>
      </c>
      <c r="L467" s="28">
        <f t="shared" si="15"/>
        <v>-6.1869436641186638E-2</v>
      </c>
      <c r="M467" s="32">
        <v>3957.63</v>
      </c>
      <c r="N467" s="28">
        <f t="shared" si="15"/>
        <v>-1.1543599591843369E-2</v>
      </c>
    </row>
    <row r="468" spans="1:14">
      <c r="A468" s="30">
        <v>42313</v>
      </c>
      <c r="B468" s="28">
        <v>27.486107000000001</v>
      </c>
      <c r="C468" s="28">
        <f t="shared" si="14"/>
        <v>-4.6204851329624125E-3</v>
      </c>
      <c r="D468" s="31">
        <v>2099.9299999999998</v>
      </c>
      <c r="E468" s="28">
        <f t="shared" si="14"/>
        <v>-1.1327293322022361E-3</v>
      </c>
      <c r="J468" s="30">
        <v>44895</v>
      </c>
      <c r="K468" s="28">
        <v>141.93454</v>
      </c>
      <c r="L468" s="28">
        <f t="shared" si="15"/>
        <v>1.2250192988567766E-2</v>
      </c>
      <c r="M468" s="32">
        <v>3941.26</v>
      </c>
      <c r="N468" s="28">
        <f t="shared" si="15"/>
        <v>-4.1448921143489113E-3</v>
      </c>
    </row>
    <row r="469" spans="1:14">
      <c r="A469" s="30">
        <v>42314</v>
      </c>
      <c r="B469" s="28">
        <v>27.517932999999999</v>
      </c>
      <c r="C469" s="28">
        <f t="shared" si="14"/>
        <v>1.1572242166827541E-3</v>
      </c>
      <c r="D469" s="31">
        <v>2099.1999999999998</v>
      </c>
      <c r="E469" s="28">
        <f t="shared" si="14"/>
        <v>-3.4769107284318419E-4</v>
      </c>
      <c r="J469" s="30">
        <v>44902</v>
      </c>
      <c r="K469" s="28">
        <v>144.47706600000001</v>
      </c>
      <c r="L469" s="28">
        <f t="shared" si="15"/>
        <v>1.7754816754414215E-2</v>
      </c>
      <c r="M469" s="32">
        <v>4019.65</v>
      </c>
      <c r="N469" s="28">
        <f t="shared" si="15"/>
        <v>1.9694365023953383E-2</v>
      </c>
    </row>
    <row r="470" spans="1:14">
      <c r="A470" s="30">
        <v>42317</v>
      </c>
      <c r="B470" s="28">
        <v>27.406548000000001</v>
      </c>
      <c r="C470" s="28">
        <f t="shared" si="14"/>
        <v>-4.0559382871956425E-3</v>
      </c>
      <c r="D470" s="31">
        <v>2078.58</v>
      </c>
      <c r="E470" s="28">
        <f t="shared" si="14"/>
        <v>-9.8713515026068524E-3</v>
      </c>
      <c r="J470" s="30">
        <v>44909</v>
      </c>
      <c r="K470" s="28">
        <v>131.396973</v>
      </c>
      <c r="L470" s="28">
        <f t="shared" si="15"/>
        <v>-9.4897712898024178E-2</v>
      </c>
      <c r="M470" s="32">
        <v>3821.62</v>
      </c>
      <c r="N470" s="28">
        <f t="shared" si="15"/>
        <v>-5.0520417673953114E-2</v>
      </c>
    </row>
    <row r="471" spans="1:14">
      <c r="A471" s="30">
        <v>42318</v>
      </c>
      <c r="B471" s="28">
        <v>26.542771999999999</v>
      </c>
      <c r="C471" s="28">
        <f t="shared" si="14"/>
        <v>-3.2024493376485441E-2</v>
      </c>
      <c r="D471" s="31">
        <v>2081.7199999999998</v>
      </c>
      <c r="E471" s="28">
        <f t="shared" si="14"/>
        <v>1.5095068126030056E-3</v>
      </c>
      <c r="J471" s="30">
        <v>44916</v>
      </c>
      <c r="K471" s="28">
        <v>129.14245600000001</v>
      </c>
      <c r="L471" s="28">
        <f t="shared" si="15"/>
        <v>-1.7306964118136141E-2</v>
      </c>
      <c r="M471" s="32">
        <v>3829.25</v>
      </c>
      <c r="N471" s="28">
        <f t="shared" si="15"/>
        <v>1.9945450725154445E-3</v>
      </c>
    </row>
    <row r="472" spans="1:14">
      <c r="A472" s="30">
        <v>42319</v>
      </c>
      <c r="B472" s="28">
        <v>26.392757</v>
      </c>
      <c r="C472" s="28">
        <f t="shared" si="14"/>
        <v>-5.6678531198555348E-3</v>
      </c>
      <c r="D472" s="31">
        <v>2075</v>
      </c>
      <c r="E472" s="28">
        <f t="shared" si="14"/>
        <v>-3.2333213949674142E-3</v>
      </c>
      <c r="J472" s="30">
        <v>44923</v>
      </c>
      <c r="K472" s="28">
        <v>124.216301</v>
      </c>
      <c r="L472" s="28">
        <f t="shared" si="15"/>
        <v>-3.8891696263116324E-2</v>
      </c>
      <c r="M472" s="32">
        <v>3824.14</v>
      </c>
      <c r="N472" s="28">
        <f t="shared" si="15"/>
        <v>-1.3353561648722782E-3</v>
      </c>
    </row>
    <row r="473" spans="1:14">
      <c r="A473" s="30">
        <v>42320</v>
      </c>
      <c r="B473" s="28">
        <v>26.304102</v>
      </c>
      <c r="C473" s="28">
        <f t="shared" si="14"/>
        <v>-3.3647198456780076E-3</v>
      </c>
      <c r="D473" s="31">
        <v>2045.97</v>
      </c>
      <c r="E473" s="28">
        <f t="shared" si="14"/>
        <v>-1.4089149017324396E-2</v>
      </c>
      <c r="J473" s="30">
        <v>44930</v>
      </c>
      <c r="K473" s="28">
        <v>129.83767700000001</v>
      </c>
      <c r="L473" s="28">
        <f t="shared" si="15"/>
        <v>4.4260622921282834E-2</v>
      </c>
      <c r="M473" s="32">
        <v>3919.25</v>
      </c>
      <c r="N473" s="28">
        <f t="shared" si="15"/>
        <v>2.4566703568849272E-2</v>
      </c>
    </row>
    <row r="474" spans="1:14">
      <c r="A474" s="30">
        <v>42321</v>
      </c>
      <c r="B474" s="28">
        <v>25.535800999999999</v>
      </c>
      <c r="C474" s="28">
        <f t="shared" si="14"/>
        <v>-2.964346828624348E-2</v>
      </c>
      <c r="D474" s="31">
        <v>2023.04</v>
      </c>
      <c r="E474" s="28">
        <f t="shared" si="14"/>
        <v>-1.1270674060276152E-2</v>
      </c>
      <c r="J474" s="30">
        <v>44937</v>
      </c>
      <c r="K474" s="28">
        <v>135.0121</v>
      </c>
      <c r="L474" s="28">
        <f t="shared" si="15"/>
        <v>3.9079372256048447E-2</v>
      </c>
      <c r="M474" s="32">
        <v>3990.97</v>
      </c>
      <c r="N474" s="28">
        <f t="shared" si="15"/>
        <v>1.8134000158786818E-2</v>
      </c>
    </row>
    <row r="475" spans="1:14">
      <c r="A475" s="30">
        <v>42324</v>
      </c>
      <c r="B475" s="28">
        <v>25.954052000000001</v>
      </c>
      <c r="C475" s="28">
        <f t="shared" si="14"/>
        <v>1.6246315540530881E-2</v>
      </c>
      <c r="D475" s="31">
        <v>2053.19</v>
      </c>
      <c r="E475" s="28">
        <f t="shared" si="14"/>
        <v>1.4793350640956328E-2</v>
      </c>
      <c r="J475" s="30">
        <v>44944</v>
      </c>
      <c r="K475" s="28">
        <v>141.55711400000001</v>
      </c>
      <c r="L475" s="28">
        <f t="shared" si="15"/>
        <v>4.7338864102874592E-2</v>
      </c>
      <c r="M475" s="32">
        <v>4016.95</v>
      </c>
      <c r="N475" s="28">
        <f t="shared" si="15"/>
        <v>6.4885990745632092E-3</v>
      </c>
    </row>
    <row r="476" spans="1:14">
      <c r="A476" s="30">
        <v>42325</v>
      </c>
      <c r="B476" s="28">
        <v>25.842669000000001</v>
      </c>
      <c r="C476" s="28">
        <f t="shared" si="14"/>
        <v>-4.3007808036697225E-3</v>
      </c>
      <c r="D476" s="31">
        <v>2050.44</v>
      </c>
      <c r="E476" s="28">
        <f t="shared" si="14"/>
        <v>-1.3402769799722193E-3</v>
      </c>
      <c r="J476" s="30">
        <v>44951</v>
      </c>
      <c r="K476" s="28">
        <v>143.305115</v>
      </c>
      <c r="L476" s="28">
        <f t="shared" si="15"/>
        <v>1.2272760390182342E-2</v>
      </c>
      <c r="M476" s="32">
        <v>4076.6</v>
      </c>
      <c r="N476" s="28">
        <f t="shared" si="15"/>
        <v>1.4740399467639319E-2</v>
      </c>
    </row>
    <row r="477" spans="1:14">
      <c r="A477" s="30">
        <v>42326</v>
      </c>
      <c r="B477" s="28">
        <v>26.660975000000001</v>
      </c>
      <c r="C477" s="28">
        <f t="shared" si="14"/>
        <v>3.1173922670652218E-2</v>
      </c>
      <c r="D477" s="31">
        <v>2083.58</v>
      </c>
      <c r="E477" s="28">
        <f t="shared" si="14"/>
        <v>1.6033163805428428E-2</v>
      </c>
      <c r="J477" s="30">
        <v>44958</v>
      </c>
      <c r="K477" s="28">
        <v>153.594391</v>
      </c>
      <c r="L477" s="28">
        <f t="shared" si="15"/>
        <v>6.9339274575108523E-2</v>
      </c>
      <c r="M477" s="32">
        <v>4164</v>
      </c>
      <c r="N477" s="28">
        <f t="shared" si="15"/>
        <v>2.1212843085229659E-2</v>
      </c>
    </row>
    <row r="478" spans="1:14">
      <c r="A478" s="30">
        <v>42327</v>
      </c>
      <c r="B478" s="28">
        <v>26.999668</v>
      </c>
      <c r="C478" s="28">
        <f t="shared" si="14"/>
        <v>1.2623683907685502E-2</v>
      </c>
      <c r="D478" s="31">
        <v>2081.2399999999998</v>
      </c>
      <c r="E478" s="28">
        <f t="shared" si="14"/>
        <v>-1.1236981412047731E-3</v>
      </c>
      <c r="J478" s="30">
        <v>44965</v>
      </c>
      <c r="K478" s="28">
        <v>152.15428199999999</v>
      </c>
      <c r="L478" s="28">
        <f t="shared" si="15"/>
        <v>-9.4202838931056569E-3</v>
      </c>
      <c r="M478" s="32">
        <v>4136.13</v>
      </c>
      <c r="N478" s="28">
        <f t="shared" si="15"/>
        <v>-6.7155827059256039E-3</v>
      </c>
    </row>
    <row r="479" spans="1:14">
      <c r="A479" s="30">
        <v>42328</v>
      </c>
      <c r="B479" s="28">
        <v>27.11787</v>
      </c>
      <c r="C479" s="28">
        <f t="shared" si="14"/>
        <v>4.3683505323398692E-3</v>
      </c>
      <c r="D479" s="31">
        <v>2089.17</v>
      </c>
      <c r="E479" s="28">
        <f t="shared" si="14"/>
        <v>3.8029879831690382E-3</v>
      </c>
      <c r="J479" s="30">
        <v>44972</v>
      </c>
      <c r="K479" s="28">
        <v>147.69165000000001</v>
      </c>
      <c r="L479" s="28">
        <f t="shared" si="15"/>
        <v>-2.9768364801248202E-2</v>
      </c>
      <c r="M479" s="32">
        <v>3997.34</v>
      </c>
      <c r="N479" s="28">
        <f t="shared" si="15"/>
        <v>-3.4131428137481649E-2</v>
      </c>
    </row>
    <row r="480" spans="1:14">
      <c r="A480" s="30">
        <v>42331</v>
      </c>
      <c r="B480" s="28">
        <v>26.765539</v>
      </c>
      <c r="C480" s="28">
        <f t="shared" si="14"/>
        <v>-1.3077718281960452E-2</v>
      </c>
      <c r="D480" s="31">
        <v>2086.59</v>
      </c>
      <c r="E480" s="28">
        <f t="shared" si="14"/>
        <v>-1.2357033585728208E-3</v>
      </c>
      <c r="J480" s="30">
        <v>44979</v>
      </c>
      <c r="K480" s="28">
        <v>146.62735000000001</v>
      </c>
      <c r="L480" s="28">
        <f t="shared" si="15"/>
        <v>-7.2323202996938596E-3</v>
      </c>
      <c r="M480" s="32">
        <v>3970.15</v>
      </c>
      <c r="N480" s="28">
        <f t="shared" si="15"/>
        <v>-6.8252625486750476E-3</v>
      </c>
    </row>
    <row r="481" spans="1:14">
      <c r="A481" s="30">
        <v>42332</v>
      </c>
      <c r="B481" s="28">
        <v>27.022400000000001</v>
      </c>
      <c r="C481" s="28">
        <f t="shared" si="14"/>
        <v>9.550949798707728E-3</v>
      </c>
      <c r="D481" s="31">
        <v>2089.14</v>
      </c>
      <c r="E481" s="28">
        <f t="shared" si="14"/>
        <v>1.2213434858008502E-3</v>
      </c>
      <c r="J481" s="30">
        <v>44986</v>
      </c>
      <c r="K481" s="28">
        <v>150.79510500000001</v>
      </c>
      <c r="L481" s="28">
        <f t="shared" si="15"/>
        <v>2.8027660709128609E-2</v>
      </c>
      <c r="M481" s="32">
        <v>3986.37</v>
      </c>
      <c r="N481" s="28">
        <f t="shared" si="15"/>
        <v>4.0771650091044505E-3</v>
      </c>
    </row>
    <row r="482" spans="1:14">
      <c r="A482" s="30">
        <v>42333</v>
      </c>
      <c r="B482" s="28">
        <v>26.829189</v>
      </c>
      <c r="C482" s="28">
        <f t="shared" si="14"/>
        <v>-7.1757150582785669E-3</v>
      </c>
      <c r="D482" s="31">
        <v>2088.87</v>
      </c>
      <c r="E482" s="28">
        <f t="shared" si="14"/>
        <v>-1.2924813505752467E-4</v>
      </c>
      <c r="J482" s="30">
        <v>44993</v>
      </c>
      <c r="K482" s="28">
        <v>151.779831</v>
      </c>
      <c r="L482" s="28">
        <f t="shared" si="15"/>
        <v>6.5089956866538371E-3</v>
      </c>
      <c r="M482" s="32">
        <v>3919.29</v>
      </c>
      <c r="N482" s="28">
        <f t="shared" si="15"/>
        <v>-1.6970527421004605E-2</v>
      </c>
    </row>
    <row r="483" spans="1:14">
      <c r="A483" s="30">
        <v>42335</v>
      </c>
      <c r="B483" s="28">
        <v>26.779181000000001</v>
      </c>
      <c r="C483" s="28">
        <f t="shared" si="14"/>
        <v>-1.8656793521415818E-3</v>
      </c>
      <c r="D483" s="31">
        <v>2090.11</v>
      </c>
      <c r="E483" s="28">
        <f t="shared" si="14"/>
        <v>5.9344626506564215E-4</v>
      </c>
      <c r="J483" s="30">
        <v>45000</v>
      </c>
      <c r="K483" s="28">
        <v>158.43431100000001</v>
      </c>
      <c r="L483" s="28">
        <f t="shared" si="15"/>
        <v>4.2909075250820404E-2</v>
      </c>
      <c r="M483" s="32">
        <v>4002.87</v>
      </c>
      <c r="N483" s="28">
        <f t="shared" si="15"/>
        <v>2.1101088891083829E-2</v>
      </c>
    </row>
    <row r="484" spans="1:14">
      <c r="A484" s="30">
        <v>42338</v>
      </c>
      <c r="B484" s="28">
        <v>26.890560000000001</v>
      </c>
      <c r="C484" s="28">
        <f t="shared" si="14"/>
        <v>4.1505383785437723E-3</v>
      </c>
      <c r="D484" s="31">
        <v>2080.41</v>
      </c>
      <c r="E484" s="28">
        <f t="shared" si="14"/>
        <v>-4.651706497517027E-3</v>
      </c>
      <c r="J484" s="30">
        <v>45007</v>
      </c>
      <c r="K484" s="28">
        <v>156.812973</v>
      </c>
      <c r="L484" s="28">
        <f t="shared" si="15"/>
        <v>-1.028622530902071E-2</v>
      </c>
      <c r="M484" s="32">
        <v>3971.27</v>
      </c>
      <c r="N484" s="28">
        <f t="shared" si="15"/>
        <v>-7.925661053245877E-3</v>
      </c>
    </row>
    <row r="485" spans="1:14">
      <c r="A485" s="30">
        <v>42339</v>
      </c>
      <c r="B485" s="28">
        <v>26.672342</v>
      </c>
      <c r="C485" s="28">
        <f t="shared" si="14"/>
        <v>-8.1481472878990029E-3</v>
      </c>
      <c r="D485" s="31">
        <v>2102.63</v>
      </c>
      <c r="E485" s="28">
        <f t="shared" si="14"/>
        <v>1.0623952433730842E-2</v>
      </c>
      <c r="J485" s="30">
        <v>45014</v>
      </c>
      <c r="K485" s="28">
        <v>164.75062600000001</v>
      </c>
      <c r="L485" s="28">
        <f t="shared" si="15"/>
        <v>4.9379132608644044E-2</v>
      </c>
      <c r="M485" s="32">
        <v>4100.6000000000004</v>
      </c>
      <c r="N485" s="28">
        <f t="shared" si="15"/>
        <v>3.2047361680231375E-2</v>
      </c>
    </row>
    <row r="486" spans="1:14">
      <c r="A486" s="30">
        <v>42340</v>
      </c>
      <c r="B486" s="28">
        <v>26.431394999999998</v>
      </c>
      <c r="C486" s="28">
        <f t="shared" si="14"/>
        <v>-9.0746402076504456E-3</v>
      </c>
      <c r="D486" s="31">
        <v>2079.5100000000002</v>
      </c>
      <c r="E486" s="28">
        <f t="shared" si="14"/>
        <v>-1.1056653069340215E-2</v>
      </c>
      <c r="J486" s="30">
        <v>45021</v>
      </c>
      <c r="K486" s="28">
        <v>159.946259</v>
      </c>
      <c r="L486" s="28">
        <f t="shared" si="15"/>
        <v>-2.9595095508822007E-2</v>
      </c>
      <c r="M486" s="32">
        <v>4108.9399999999996</v>
      </c>
      <c r="N486" s="28">
        <f t="shared" si="15"/>
        <v>2.0317832348848257E-3</v>
      </c>
    </row>
    <row r="487" spans="1:14">
      <c r="A487" s="30">
        <v>42341</v>
      </c>
      <c r="B487" s="28">
        <v>26.185898000000002</v>
      </c>
      <c r="C487" s="28">
        <f t="shared" si="14"/>
        <v>-9.3314865673001963E-3</v>
      </c>
      <c r="D487" s="31">
        <v>2049.62</v>
      </c>
      <c r="E487" s="28">
        <f t="shared" si="14"/>
        <v>-1.4477878923262813E-2</v>
      </c>
      <c r="J487" s="30">
        <v>45028</v>
      </c>
      <c r="K487" s="28">
        <v>165.58616599999999</v>
      </c>
      <c r="L487" s="28">
        <f t="shared" si="15"/>
        <v>3.4653822251183346E-2</v>
      </c>
      <c r="M487" s="32">
        <v>4154.87</v>
      </c>
      <c r="N487" s="28">
        <f t="shared" si="15"/>
        <v>1.1116052510954922E-2</v>
      </c>
    </row>
    <row r="488" spans="1:14">
      <c r="A488" s="30">
        <v>42342</v>
      </c>
      <c r="B488" s="28">
        <v>27.056495999999999</v>
      </c>
      <c r="C488" s="28">
        <f t="shared" si="14"/>
        <v>3.270610274911849E-2</v>
      </c>
      <c r="D488" s="31">
        <v>2091.69</v>
      </c>
      <c r="E488" s="28">
        <f t="shared" si="14"/>
        <v>2.0317941551718299E-2</v>
      </c>
      <c r="J488" s="30">
        <v>45035</v>
      </c>
      <c r="K488" s="28">
        <v>162.900497</v>
      </c>
      <c r="L488" s="28">
        <f t="shared" si="15"/>
        <v>-1.6352133259419869E-2</v>
      </c>
      <c r="M488" s="32">
        <v>4071.63</v>
      </c>
      <c r="N488" s="28">
        <f t="shared" si="15"/>
        <v>-2.0237729532929603E-2</v>
      </c>
    </row>
    <row r="489" spans="1:14">
      <c r="A489" s="30">
        <v>42345</v>
      </c>
      <c r="B489" s="28">
        <v>26.886011</v>
      </c>
      <c r="C489" s="28">
        <f t="shared" si="14"/>
        <v>-6.3210101690692718E-3</v>
      </c>
      <c r="D489" s="31">
        <v>2077.0700000000002</v>
      </c>
      <c r="E489" s="28">
        <f t="shared" si="14"/>
        <v>-7.014104884478266E-3</v>
      </c>
      <c r="J489" s="30">
        <v>45042</v>
      </c>
      <c r="K489" s="28">
        <v>167.64514199999999</v>
      </c>
      <c r="L489" s="28">
        <f t="shared" si="15"/>
        <v>2.8709928902055169E-2</v>
      </c>
      <c r="M489" s="32">
        <v>4119.58</v>
      </c>
      <c r="N489" s="28">
        <f t="shared" si="15"/>
        <v>1.170780573772943E-2</v>
      </c>
    </row>
    <row r="490" spans="1:14">
      <c r="A490" s="30">
        <v>42346</v>
      </c>
      <c r="B490" s="28">
        <v>26.874652999999999</v>
      </c>
      <c r="C490" s="28">
        <f t="shared" si="14"/>
        <v>-4.2253943027892164E-4</v>
      </c>
      <c r="D490" s="31">
        <v>2063.59</v>
      </c>
      <c r="E490" s="28">
        <f t="shared" si="14"/>
        <v>-6.5110623052767533E-3</v>
      </c>
      <c r="J490" s="30">
        <v>45049</v>
      </c>
      <c r="K490" s="28">
        <v>170.85801699999999</v>
      </c>
      <c r="L490" s="28">
        <f t="shared" si="15"/>
        <v>1.8983406206007084E-2</v>
      </c>
      <c r="M490" s="32">
        <v>4119.17</v>
      </c>
      <c r="N490" s="28">
        <f t="shared" si="15"/>
        <v>-9.9529661741918371E-5</v>
      </c>
    </row>
    <row r="491" spans="1:14">
      <c r="A491" s="30">
        <v>42347</v>
      </c>
      <c r="B491" s="28">
        <v>26.281374</v>
      </c>
      <c r="C491" s="28">
        <f t="shared" si="14"/>
        <v>-2.2323099381845408E-2</v>
      </c>
      <c r="D491" s="31">
        <v>2047.62</v>
      </c>
      <c r="E491" s="28">
        <f t="shared" si="14"/>
        <v>-7.7690413899379369E-3</v>
      </c>
      <c r="J491" s="30">
        <v>45056</v>
      </c>
      <c r="K491" s="28">
        <v>171.15643299999999</v>
      </c>
      <c r="L491" s="28">
        <f t="shared" si="15"/>
        <v>1.7450495189777887E-3</v>
      </c>
      <c r="M491" s="32">
        <v>4109.8999999999996</v>
      </c>
      <c r="N491" s="28">
        <f t="shared" si="15"/>
        <v>-2.2529894438084209E-3</v>
      </c>
    </row>
    <row r="492" spans="1:14">
      <c r="A492" s="30">
        <v>42348</v>
      </c>
      <c r="B492" s="28">
        <v>26.406389000000001</v>
      </c>
      <c r="C492" s="28">
        <f t="shared" si="14"/>
        <v>4.7455130941997754E-3</v>
      </c>
      <c r="D492" s="31">
        <v>2052.23</v>
      </c>
      <c r="E492" s="28">
        <f t="shared" si="14"/>
        <v>2.2488637110527291E-3</v>
      </c>
      <c r="J492" s="30">
        <v>45063</v>
      </c>
      <c r="K492" s="28">
        <v>170.88516200000001</v>
      </c>
      <c r="L492" s="28">
        <f t="shared" si="15"/>
        <v>-1.5861875329885816E-3</v>
      </c>
      <c r="M492" s="32">
        <v>4145.58</v>
      </c>
      <c r="N492" s="28">
        <f t="shared" si="15"/>
        <v>8.6440091100458086E-3</v>
      </c>
    </row>
    <row r="493" spans="1:14">
      <c r="A493" s="30">
        <v>42349</v>
      </c>
      <c r="B493" s="28">
        <v>25.726742000000002</v>
      </c>
      <c r="C493" s="28">
        <f t="shared" si="14"/>
        <v>-2.6074992792096609E-2</v>
      </c>
      <c r="D493" s="31">
        <v>2012.37</v>
      </c>
      <c r="E493" s="28">
        <f t="shared" si="14"/>
        <v>-1.9613874846502764E-2</v>
      </c>
      <c r="J493" s="30">
        <v>45070</v>
      </c>
      <c r="K493" s="28">
        <v>176.602585</v>
      </c>
      <c r="L493" s="28">
        <f t="shared" si="15"/>
        <v>3.2910162012924106E-2</v>
      </c>
      <c r="M493" s="32">
        <v>4205.5200000000004</v>
      </c>
      <c r="N493" s="28">
        <f t="shared" si="15"/>
        <v>1.4355241664191883E-2</v>
      </c>
    </row>
    <row r="494" spans="1:14">
      <c r="A494" s="30">
        <v>42352</v>
      </c>
      <c r="B494" s="28">
        <v>25.567629</v>
      </c>
      <c r="C494" s="28">
        <f t="shared" si="14"/>
        <v>-6.2039365036402868E-3</v>
      </c>
      <c r="D494" s="31">
        <v>2021.94</v>
      </c>
      <c r="E494" s="28">
        <f t="shared" si="14"/>
        <v>4.7443146166453133E-3</v>
      </c>
      <c r="J494" s="30">
        <v>45077</v>
      </c>
      <c r="K494" s="28">
        <v>178.50508099999999</v>
      </c>
      <c r="L494" s="28">
        <f t="shared" si="15"/>
        <v>1.0715140138743045E-2</v>
      </c>
      <c r="M494" s="32">
        <v>4283.8500000000004</v>
      </c>
      <c r="N494" s="28">
        <f t="shared" si="15"/>
        <v>1.8454189880759201E-2</v>
      </c>
    </row>
    <row r="495" spans="1:14">
      <c r="A495" s="30">
        <v>42353</v>
      </c>
      <c r="B495" s="28">
        <v>25.115279999999998</v>
      </c>
      <c r="C495" s="28">
        <f t="shared" si="14"/>
        <v>-1.7850633297413286E-2</v>
      </c>
      <c r="D495" s="31">
        <v>2043.41</v>
      </c>
      <c r="E495" s="28">
        <f t="shared" si="14"/>
        <v>1.0562534400149612E-2</v>
      </c>
      <c r="J495" s="30">
        <v>45084</v>
      </c>
      <c r="K495" s="28">
        <v>182.588943</v>
      </c>
      <c r="L495" s="28">
        <f t="shared" si="15"/>
        <v>2.2620347405308557E-2</v>
      </c>
      <c r="M495" s="32">
        <v>4369.01</v>
      </c>
      <c r="N495" s="28">
        <f t="shared" si="15"/>
        <v>1.9684300853068309E-2</v>
      </c>
    </row>
    <row r="496" spans="1:14">
      <c r="A496" s="30">
        <v>42354</v>
      </c>
      <c r="B496" s="28">
        <v>25.308495000000001</v>
      </c>
      <c r="C496" s="28">
        <f t="shared" si="14"/>
        <v>7.6636842703111429E-3</v>
      </c>
      <c r="D496" s="31">
        <v>2073.0700000000002</v>
      </c>
      <c r="E496" s="28">
        <f t="shared" si="14"/>
        <v>1.4410619402612932E-2</v>
      </c>
      <c r="J496" s="30">
        <v>45091</v>
      </c>
      <c r="K496" s="28">
        <v>184.28225699999999</v>
      </c>
      <c r="L496" s="28">
        <f t="shared" si="15"/>
        <v>9.2311744534318337E-3</v>
      </c>
      <c r="M496" s="32">
        <v>4388.71</v>
      </c>
      <c r="N496" s="28">
        <f t="shared" si="15"/>
        <v>4.4988954265313096E-3</v>
      </c>
    </row>
    <row r="497" spans="1:14">
      <c r="A497" s="30">
        <v>42355</v>
      </c>
      <c r="B497" s="28">
        <v>24.772048999999999</v>
      </c>
      <c r="C497" s="28">
        <f t="shared" si="14"/>
        <v>-2.142414901249903E-2</v>
      </c>
      <c r="D497" s="31">
        <v>2041.89</v>
      </c>
      <c r="E497" s="28">
        <f t="shared" si="14"/>
        <v>-1.515475083488926E-2</v>
      </c>
      <c r="J497" s="30">
        <v>45098</v>
      </c>
      <c r="K497" s="28">
        <v>187.320267</v>
      </c>
      <c r="L497" s="28">
        <f t="shared" si="15"/>
        <v>1.6351222023370464E-2</v>
      </c>
      <c r="M497" s="32">
        <v>4378.41</v>
      </c>
      <c r="N497" s="28">
        <f t="shared" si="15"/>
        <v>-2.3496894621934531E-3</v>
      </c>
    </row>
    <row r="498" spans="1:14">
      <c r="A498" s="30">
        <v>42356</v>
      </c>
      <c r="B498" s="28">
        <v>24.101492</v>
      </c>
      <c r="C498" s="28">
        <f t="shared" si="14"/>
        <v>-2.7442213819543454E-2</v>
      </c>
      <c r="D498" s="31">
        <v>2005.55</v>
      </c>
      <c r="E498" s="28">
        <f t="shared" si="14"/>
        <v>-1.7957512179647538E-2</v>
      </c>
      <c r="J498" s="30">
        <v>45105</v>
      </c>
      <c r="K498" s="28">
        <v>191.702957</v>
      </c>
      <c r="L498" s="28">
        <f t="shared" si="15"/>
        <v>2.3127265393406923E-2</v>
      </c>
      <c r="M498" s="32">
        <v>4455.59</v>
      </c>
      <c r="N498" s="28">
        <f t="shared" si="15"/>
        <v>1.7473842835437743E-2</v>
      </c>
    </row>
    <row r="499" spans="1:14">
      <c r="A499" s="30">
        <v>42359</v>
      </c>
      <c r="B499" s="28">
        <v>24.396992000000001</v>
      </c>
      <c r="C499" s="28">
        <f t="shared" si="14"/>
        <v>1.2186098717152564E-2</v>
      </c>
      <c r="D499" s="31">
        <v>2021.15</v>
      </c>
      <c r="E499" s="28">
        <f t="shared" si="14"/>
        <v>7.748318994364429E-3</v>
      </c>
      <c r="J499" s="30">
        <v>45112</v>
      </c>
      <c r="K499" s="28">
        <v>187.34019499999999</v>
      </c>
      <c r="L499" s="28">
        <f t="shared" si="15"/>
        <v>-2.3020886407418395E-2</v>
      </c>
      <c r="M499" s="32">
        <v>4439.26</v>
      </c>
      <c r="N499" s="28">
        <f t="shared" si="15"/>
        <v>-3.6717917327048653E-3</v>
      </c>
    </row>
    <row r="500" spans="1:14">
      <c r="A500" s="30">
        <v>42360</v>
      </c>
      <c r="B500" s="28">
        <v>24.374255999999999</v>
      </c>
      <c r="C500" s="28">
        <f t="shared" si="14"/>
        <v>-9.3235267004034331E-4</v>
      </c>
      <c r="D500" s="31">
        <v>2038.97</v>
      </c>
      <c r="E500" s="28">
        <f t="shared" si="14"/>
        <v>8.7781220393295094E-3</v>
      </c>
      <c r="J500" s="30">
        <v>45119</v>
      </c>
      <c r="K500" s="28">
        <v>192.96795700000001</v>
      </c>
      <c r="L500" s="28">
        <f t="shared" si="15"/>
        <v>2.959796054565602E-2</v>
      </c>
      <c r="M500" s="32">
        <v>4554.9799999999996</v>
      </c>
      <c r="N500" s="28">
        <f t="shared" si="15"/>
        <v>2.5733444035884279E-2</v>
      </c>
    </row>
    <row r="501" spans="1:14">
      <c r="A501" s="30">
        <v>42361</v>
      </c>
      <c r="B501" s="28">
        <v>24.687943000000001</v>
      </c>
      <c r="C501" s="28">
        <f t="shared" si="14"/>
        <v>1.27874934629918E-2</v>
      </c>
      <c r="D501" s="31">
        <v>2064.29</v>
      </c>
      <c r="E501" s="28">
        <f t="shared" si="14"/>
        <v>1.2341563236114893E-2</v>
      </c>
      <c r="J501" s="30">
        <v>45126</v>
      </c>
      <c r="K501" s="28">
        <v>192.85839799999999</v>
      </c>
      <c r="L501" s="28">
        <f t="shared" si="15"/>
        <v>-5.6791871019131032E-4</v>
      </c>
      <c r="M501" s="32">
        <v>4567.46</v>
      </c>
      <c r="N501" s="28">
        <f t="shared" si="15"/>
        <v>2.7361117827598303E-3</v>
      </c>
    </row>
    <row r="502" spans="1:14">
      <c r="A502" s="30">
        <v>42362</v>
      </c>
      <c r="B502" s="28">
        <v>24.556104999999999</v>
      </c>
      <c r="C502" s="28">
        <f t="shared" si="14"/>
        <v>-5.3544873073260706E-3</v>
      </c>
      <c r="D502" s="31">
        <v>2060.9899999999998</v>
      </c>
      <c r="E502" s="28">
        <f t="shared" si="14"/>
        <v>-1.599891742574954E-3</v>
      </c>
      <c r="J502" s="30">
        <v>45133</v>
      </c>
      <c r="K502" s="28">
        <v>194.84056100000001</v>
      </c>
      <c r="L502" s="28">
        <f t="shared" si="15"/>
        <v>1.0225357715632415E-2</v>
      </c>
      <c r="M502" s="32">
        <v>4576.7299999999996</v>
      </c>
      <c r="N502" s="28">
        <f t="shared" si="15"/>
        <v>2.0275176206124555E-3</v>
      </c>
    </row>
    <row r="503" spans="1:14">
      <c r="A503" s="30">
        <v>42366</v>
      </c>
      <c r="B503" s="28">
        <v>24.281061000000001</v>
      </c>
      <c r="C503" s="28">
        <f t="shared" si="14"/>
        <v>-1.1263835742971689E-2</v>
      </c>
      <c r="D503" s="31">
        <v>2056.5</v>
      </c>
      <c r="E503" s="28">
        <f t="shared" si="14"/>
        <v>-2.1809411946235105E-3</v>
      </c>
      <c r="J503" s="30">
        <v>45140</v>
      </c>
      <c r="K503" s="28">
        <v>179.092758</v>
      </c>
      <c r="L503" s="28">
        <f t="shared" si="15"/>
        <v>-8.4277715481523394E-2</v>
      </c>
      <c r="M503" s="32">
        <v>4499.38</v>
      </c>
      <c r="N503" s="28">
        <f t="shared" si="15"/>
        <v>-1.7045159820024421E-2</v>
      </c>
    </row>
    <row r="504" spans="1:14">
      <c r="A504" s="30">
        <v>42367</v>
      </c>
      <c r="B504" s="28">
        <v>24.717495</v>
      </c>
      <c r="C504" s="28">
        <f t="shared" si="14"/>
        <v>1.7814628749457329E-2</v>
      </c>
      <c r="D504" s="31">
        <v>2078.36</v>
      </c>
      <c r="E504" s="28">
        <f t="shared" si="14"/>
        <v>1.0573612487139963E-2</v>
      </c>
      <c r="J504" s="30">
        <v>45147</v>
      </c>
      <c r="K504" s="28">
        <v>176.75198399999999</v>
      </c>
      <c r="L504" s="28">
        <f t="shared" si="15"/>
        <v>-1.3156343130639582E-2</v>
      </c>
      <c r="M504" s="32">
        <v>4437.8599999999997</v>
      </c>
      <c r="N504" s="28">
        <f t="shared" si="15"/>
        <v>-1.3767331234766563E-2</v>
      </c>
    </row>
    <row r="505" spans="1:14">
      <c r="A505" s="30">
        <v>42368</v>
      </c>
      <c r="B505" s="28">
        <v>24.39472</v>
      </c>
      <c r="C505" s="28">
        <f t="shared" si="14"/>
        <v>-1.3144577063206545E-2</v>
      </c>
      <c r="D505" s="31">
        <v>2063.36</v>
      </c>
      <c r="E505" s="28">
        <f t="shared" si="14"/>
        <v>-7.2433991595191854E-3</v>
      </c>
      <c r="J505" s="30">
        <v>45154</v>
      </c>
      <c r="K505" s="28">
        <v>176.771255</v>
      </c>
      <c r="L505" s="28">
        <f t="shared" si="15"/>
        <v>1.0902253596453336E-4</v>
      </c>
      <c r="M505" s="32">
        <v>4387.55</v>
      </c>
      <c r="N505" s="28">
        <f t="shared" si="15"/>
        <v>-1.140129353305361E-2</v>
      </c>
    </row>
    <row r="506" spans="1:14">
      <c r="A506" s="30">
        <v>42369</v>
      </c>
      <c r="B506" s="28">
        <v>23.926462000000001</v>
      </c>
      <c r="C506" s="28">
        <f t="shared" si="14"/>
        <v>-1.9381672340066925E-2</v>
      </c>
      <c r="D506" s="31">
        <v>2043.94</v>
      </c>
      <c r="E506" s="28">
        <f t="shared" si="14"/>
        <v>-9.4564043127839722E-3</v>
      </c>
      <c r="J506" s="30">
        <v>45161</v>
      </c>
      <c r="K506" s="28">
        <v>183.64340200000001</v>
      </c>
      <c r="L506" s="28">
        <f t="shared" si="15"/>
        <v>3.8139292441597777E-2</v>
      </c>
      <c r="M506" s="32">
        <v>4497.63</v>
      </c>
      <c r="N506" s="28">
        <f t="shared" si="15"/>
        <v>2.4779606633557903E-2</v>
      </c>
    </row>
    <row r="507" spans="1:14">
      <c r="A507" s="30">
        <v>42373</v>
      </c>
      <c r="B507" s="28">
        <v>23.946919999999999</v>
      </c>
      <c r="C507" s="28">
        <f t="shared" si="14"/>
        <v>8.5467123443732707E-4</v>
      </c>
      <c r="D507" s="31">
        <v>2012.66</v>
      </c>
      <c r="E507" s="28">
        <f t="shared" si="14"/>
        <v>-1.5422087447211375E-2</v>
      </c>
      <c r="J507" s="30">
        <v>45168</v>
      </c>
      <c r="K507" s="28">
        <v>189.208969</v>
      </c>
      <c r="L507" s="28">
        <f t="shared" si="15"/>
        <v>2.9856215771618295E-2</v>
      </c>
      <c r="M507" s="32">
        <v>4496.83</v>
      </c>
      <c r="N507" s="28">
        <f t="shared" si="15"/>
        <v>-1.7788727774874241E-4</v>
      </c>
    </row>
    <row r="508" spans="1:14">
      <c r="A508" s="30">
        <v>42374</v>
      </c>
      <c r="B508" s="28">
        <v>23.346824999999999</v>
      </c>
      <c r="C508" s="28">
        <f t="shared" si="14"/>
        <v>-2.5378713768970475E-2</v>
      </c>
      <c r="D508" s="31">
        <v>2016.71</v>
      </c>
      <c r="E508" s="28">
        <f t="shared" si="14"/>
        <v>2.0102404911239561E-3</v>
      </c>
      <c r="J508" s="30">
        <v>45175</v>
      </c>
      <c r="K508" s="28">
        <v>175.84367399999999</v>
      </c>
      <c r="L508" s="28">
        <f t="shared" si="15"/>
        <v>-7.3256675925206988E-2</v>
      </c>
      <c r="M508" s="32">
        <v>4461.8999999999996</v>
      </c>
      <c r="N508" s="28">
        <f t="shared" si="15"/>
        <v>-7.7980198097305879E-3</v>
      </c>
    </row>
    <row r="509" spans="1:14">
      <c r="A509" s="30">
        <v>42375</v>
      </c>
      <c r="B509" s="28">
        <v>22.889935000000001</v>
      </c>
      <c r="C509" s="28">
        <f t="shared" si="14"/>
        <v>-1.976370627302778E-2</v>
      </c>
      <c r="D509" s="31">
        <v>1990.26</v>
      </c>
      <c r="E509" s="28">
        <f t="shared" si="14"/>
        <v>-1.3202187278752919E-2</v>
      </c>
      <c r="J509" s="30">
        <v>45182</v>
      </c>
      <c r="K509" s="28">
        <v>178.60649100000001</v>
      </c>
      <c r="L509" s="28">
        <f t="shared" si="15"/>
        <v>1.5589627135398619E-2</v>
      </c>
      <c r="M509" s="32">
        <v>4443.95</v>
      </c>
      <c r="N509" s="28">
        <f t="shared" si="15"/>
        <v>-4.031063695548222E-3</v>
      </c>
    </row>
    <row r="510" spans="1:14">
      <c r="A510" s="30">
        <v>42376</v>
      </c>
      <c r="B510" s="28">
        <v>21.923877999999998</v>
      </c>
      <c r="C510" s="28">
        <f t="shared" si="14"/>
        <v>-4.3120931802057672E-2</v>
      </c>
      <c r="D510" s="31">
        <v>1943.09</v>
      </c>
      <c r="E510" s="28">
        <f t="shared" si="14"/>
        <v>-2.3985794022258523E-2</v>
      </c>
      <c r="J510" s="30">
        <v>45189</v>
      </c>
      <c r="K510" s="28">
        <v>171.514893</v>
      </c>
      <c r="L510" s="28">
        <f t="shared" si="15"/>
        <v>-4.0514909081177518E-2</v>
      </c>
      <c r="M510" s="32">
        <v>4273.53</v>
      </c>
      <c r="N510" s="28">
        <f t="shared" si="15"/>
        <v>-3.9103436982661242E-2</v>
      </c>
    </row>
    <row r="511" spans="1:14">
      <c r="A511" s="30">
        <v>42377</v>
      </c>
      <c r="B511" s="28">
        <v>22.039804</v>
      </c>
      <c r="C511" s="28">
        <f t="shared" si="14"/>
        <v>5.2737288328029205E-3</v>
      </c>
      <c r="D511" s="31">
        <v>1922.03</v>
      </c>
      <c r="E511" s="28">
        <f t="shared" si="14"/>
        <v>-1.0897570278899054E-2</v>
      </c>
      <c r="J511" s="30">
        <v>45196</v>
      </c>
      <c r="K511" s="28">
        <v>171.95373499999999</v>
      </c>
      <c r="L511" s="28">
        <f t="shared" si="15"/>
        <v>2.555355587220583E-3</v>
      </c>
      <c r="M511" s="32">
        <v>4229.45</v>
      </c>
      <c r="N511" s="28">
        <f t="shared" si="15"/>
        <v>-1.0368222642597158E-2</v>
      </c>
    </row>
    <row r="512" spans="1:14">
      <c r="A512" s="30">
        <v>42380</v>
      </c>
      <c r="B512" s="28">
        <v>22.396674999999998</v>
      </c>
      <c r="C512" s="28">
        <f t="shared" si="14"/>
        <v>1.6062419019846563E-2</v>
      </c>
      <c r="D512" s="31">
        <v>1923.67</v>
      </c>
      <c r="E512" s="28">
        <f t="shared" si="14"/>
        <v>8.5290069397867538E-4</v>
      </c>
      <c r="J512" s="30">
        <v>45203</v>
      </c>
      <c r="K512" s="28">
        <v>177.92825300000001</v>
      </c>
      <c r="L512" s="28">
        <f t="shared" si="15"/>
        <v>3.4154937929589853E-2</v>
      </c>
      <c r="M512" s="32">
        <v>4358.24</v>
      </c>
      <c r="N512" s="28">
        <f t="shared" si="15"/>
        <v>2.9996345175898102E-2</v>
      </c>
    </row>
    <row r="513" spans="1:14">
      <c r="A513" s="30">
        <v>42381</v>
      </c>
      <c r="B513" s="28">
        <v>22.721727000000001</v>
      </c>
      <c r="C513" s="28">
        <f t="shared" si="14"/>
        <v>1.4409092945045898E-2</v>
      </c>
      <c r="D513" s="31">
        <v>1938.68</v>
      </c>
      <c r="E513" s="28">
        <f t="shared" si="14"/>
        <v>7.7725092573912389E-3</v>
      </c>
      <c r="J513" s="30">
        <v>45210</v>
      </c>
      <c r="K513" s="28">
        <v>176.691452</v>
      </c>
      <c r="L513" s="28">
        <f t="shared" si="15"/>
        <v>-6.9753936252566944E-3</v>
      </c>
      <c r="M513" s="32">
        <v>4373.2</v>
      </c>
      <c r="N513" s="28">
        <f t="shared" si="15"/>
        <v>3.4267004385762439E-3</v>
      </c>
    </row>
    <row r="514" spans="1:14">
      <c r="A514" s="30">
        <v>42382</v>
      </c>
      <c r="B514" s="28">
        <v>22.137547000000001</v>
      </c>
      <c r="C514" s="28">
        <f t="shared" si="14"/>
        <v>-2.6046477087108749E-2</v>
      </c>
      <c r="D514" s="31">
        <v>1890.28</v>
      </c>
      <c r="E514" s="28">
        <f t="shared" si="14"/>
        <v>-2.5282362871704309E-2</v>
      </c>
      <c r="J514" s="30">
        <v>45217</v>
      </c>
      <c r="K514" s="28">
        <v>172.99105800000001</v>
      </c>
      <c r="L514" s="28">
        <f t="shared" si="15"/>
        <v>-2.1165097076706142E-2</v>
      </c>
      <c r="M514" s="32">
        <v>4247.68</v>
      </c>
      <c r="N514" s="28">
        <f t="shared" si="15"/>
        <v>-2.9122055042824113E-2</v>
      </c>
    </row>
    <row r="515" spans="1:14">
      <c r="A515" s="30">
        <v>42383</v>
      </c>
      <c r="B515" s="28">
        <v>22.62171</v>
      </c>
      <c r="C515" s="28">
        <f t="shared" si="14"/>
        <v>2.163493844665984E-2</v>
      </c>
      <c r="D515" s="31">
        <v>1921.84</v>
      </c>
      <c r="E515" s="28">
        <f t="shared" si="14"/>
        <v>1.6558094217956527E-2</v>
      </c>
      <c r="J515" s="30">
        <v>45224</v>
      </c>
      <c r="K515" s="28">
        <v>170.32797199999999</v>
      </c>
      <c r="L515" s="28">
        <f t="shared" si="15"/>
        <v>-1.5514079798574701E-2</v>
      </c>
      <c r="M515" s="32">
        <v>4193.8</v>
      </c>
      <c r="N515" s="28">
        <f t="shared" si="15"/>
        <v>-1.2765707364860249E-2</v>
      </c>
    </row>
    <row r="516" spans="1:14">
      <c r="A516" s="30">
        <v>42384</v>
      </c>
      <c r="B516" s="28">
        <v>22.078437999999998</v>
      </c>
      <c r="C516" s="28">
        <f t="shared" si="14"/>
        <v>-2.4308588494770498E-2</v>
      </c>
      <c r="D516" s="31">
        <v>1880.33</v>
      </c>
      <c r="E516" s="28">
        <f t="shared" si="14"/>
        <v>-2.1835767111975091E-2</v>
      </c>
      <c r="J516" s="30">
        <v>45231</v>
      </c>
      <c r="K516" s="28">
        <v>181.34936500000001</v>
      </c>
      <c r="L516" s="28">
        <f t="shared" si="15"/>
        <v>6.2699538704307181E-2</v>
      </c>
      <c r="M516" s="32">
        <v>4378.38</v>
      </c>
      <c r="N516" s="28">
        <f t="shared" si="15"/>
        <v>4.3071548787953259E-2</v>
      </c>
    </row>
    <row r="517" spans="1:14">
      <c r="A517" s="30">
        <v>42388</v>
      </c>
      <c r="B517" s="28">
        <v>21.971610999999999</v>
      </c>
      <c r="C517" s="28">
        <f t="shared" ref="C517:E580" si="16">LN(B517/B516)</f>
        <v>-4.8502651802268208E-3</v>
      </c>
      <c r="D517" s="31">
        <v>1881.33</v>
      </c>
      <c r="E517" s="28">
        <f t="shared" si="16"/>
        <v>5.316801750062664E-4</v>
      </c>
      <c r="J517" s="30">
        <v>45238</v>
      </c>
      <c r="K517" s="28">
        <v>186.95481899999999</v>
      </c>
      <c r="L517" s="28">
        <f t="shared" ref="L517:N524" si="17">LN(K517/K516)</f>
        <v>3.0441613830233975E-2</v>
      </c>
      <c r="M517" s="32">
        <v>4495.7</v>
      </c>
      <c r="N517" s="28">
        <f t="shared" si="17"/>
        <v>2.6442591428003731E-2</v>
      </c>
    </row>
    <row r="518" spans="1:14">
      <c r="A518" s="30">
        <v>42389</v>
      </c>
      <c r="B518" s="28">
        <v>22.001162000000001</v>
      </c>
      <c r="C518" s="28">
        <f t="shared" si="16"/>
        <v>1.3440591726450236E-3</v>
      </c>
      <c r="D518" s="31">
        <v>1859.33</v>
      </c>
      <c r="E518" s="28">
        <f t="shared" si="16"/>
        <v>-1.1762765749513873E-2</v>
      </c>
      <c r="J518" s="30">
        <v>45245</v>
      </c>
      <c r="K518" s="28">
        <v>190.39704900000001</v>
      </c>
      <c r="L518" s="28">
        <f t="shared" si="17"/>
        <v>1.8244645250964836E-2</v>
      </c>
      <c r="M518" s="32">
        <v>4538.1899999999996</v>
      </c>
      <c r="N518" s="28">
        <f t="shared" si="17"/>
        <v>9.4068697593266207E-3</v>
      </c>
    </row>
    <row r="519" spans="1:14">
      <c r="A519" s="30">
        <v>42390</v>
      </c>
      <c r="B519" s="28">
        <v>21.889783999999999</v>
      </c>
      <c r="C519" s="28">
        <f t="shared" si="16"/>
        <v>-5.075226178631047E-3</v>
      </c>
      <c r="D519" s="31">
        <v>1868.99</v>
      </c>
      <c r="E519" s="28">
        <f t="shared" si="16"/>
        <v>5.181970226003676E-3</v>
      </c>
      <c r="J519" s="30">
        <v>45252</v>
      </c>
      <c r="K519" s="28">
        <v>190.15734900000001</v>
      </c>
      <c r="L519" s="28">
        <f t="shared" si="17"/>
        <v>-1.2597412246923231E-3</v>
      </c>
      <c r="M519" s="32">
        <v>4554.8900000000003</v>
      </c>
      <c r="N519" s="28">
        <f t="shared" si="17"/>
        <v>3.6731269880329047E-3</v>
      </c>
    </row>
    <row r="520" spans="1:14">
      <c r="A520" s="30">
        <v>42391</v>
      </c>
      <c r="B520" s="28">
        <v>23.053599999999999</v>
      </c>
      <c r="C520" s="28">
        <f t="shared" si="16"/>
        <v>5.180189549339495E-2</v>
      </c>
      <c r="D520" s="31">
        <v>1906.9</v>
      </c>
      <c r="E520" s="28">
        <f t="shared" si="16"/>
        <v>2.0080708854120791E-2</v>
      </c>
      <c r="J520" s="30">
        <v>45259</v>
      </c>
      <c r="K520" s="28">
        <v>193.173508</v>
      </c>
      <c r="L520" s="28">
        <f t="shared" si="17"/>
        <v>1.5736908160223603E-2</v>
      </c>
      <c r="M520" s="32">
        <v>4567.18</v>
      </c>
      <c r="N520" s="28">
        <f t="shared" si="17"/>
        <v>2.6945654738779732E-3</v>
      </c>
    </row>
    <row r="521" spans="1:14">
      <c r="A521" s="30">
        <v>42394</v>
      </c>
      <c r="B521" s="28">
        <v>22.603522999999999</v>
      </c>
      <c r="C521" s="28">
        <f t="shared" si="16"/>
        <v>-1.9716160374871616E-2</v>
      </c>
      <c r="D521" s="31">
        <v>1877.08</v>
      </c>
      <c r="E521" s="28">
        <f t="shared" si="16"/>
        <v>-1.5761508958281073E-2</v>
      </c>
      <c r="J521" s="30">
        <v>45266</v>
      </c>
      <c r="K521" s="28">
        <v>194.46186800000001</v>
      </c>
      <c r="L521" s="28">
        <f t="shared" si="17"/>
        <v>6.6473022009222041E-3</v>
      </c>
      <c r="M521" s="32">
        <v>4643.7</v>
      </c>
      <c r="N521" s="28">
        <f t="shared" si="17"/>
        <v>1.6615515658101848E-2</v>
      </c>
    </row>
    <row r="522" spans="1:14">
      <c r="A522" s="30">
        <v>42395</v>
      </c>
      <c r="B522" s="28">
        <v>22.728546000000001</v>
      </c>
      <c r="C522" s="28">
        <f t="shared" si="16"/>
        <v>5.5158884093950145E-3</v>
      </c>
      <c r="D522" s="31">
        <v>1903.63</v>
      </c>
      <c r="E522" s="28">
        <f t="shared" si="16"/>
        <v>1.4045211853838186E-2</v>
      </c>
      <c r="J522" s="30">
        <v>45273</v>
      </c>
      <c r="K522" s="28">
        <v>196.68902600000001</v>
      </c>
      <c r="L522" s="28">
        <f t="shared" si="17"/>
        <v>1.1387840870658819E-2</v>
      </c>
      <c r="M522" s="32">
        <v>4768.37</v>
      </c>
      <c r="N522" s="28">
        <f t="shared" si="17"/>
        <v>2.6493065157608842E-2</v>
      </c>
    </row>
    <row r="523" spans="1:14">
      <c r="A523" s="30">
        <v>42396</v>
      </c>
      <c r="B523" s="28">
        <v>21.235128</v>
      </c>
      <c r="C523" s="28">
        <f t="shared" si="16"/>
        <v>-6.7964875963204482E-2</v>
      </c>
      <c r="D523" s="31">
        <v>1882.95</v>
      </c>
      <c r="E523" s="28">
        <f t="shared" si="16"/>
        <v>-1.0922893803811026E-2</v>
      </c>
      <c r="J523" s="30">
        <v>45280</v>
      </c>
      <c r="K523" s="28">
        <v>192.80398600000001</v>
      </c>
      <c r="L523" s="28">
        <f t="shared" si="17"/>
        <v>-1.9949877058093212E-2</v>
      </c>
      <c r="M523" s="32">
        <v>4774.75</v>
      </c>
      <c r="N523" s="28">
        <f t="shared" si="17"/>
        <v>1.3370891177135768E-3</v>
      </c>
    </row>
    <row r="524" spans="1:14">
      <c r="A524" s="30">
        <v>42397</v>
      </c>
      <c r="B524" s="28">
        <v>21.387429999999998</v>
      </c>
      <c r="C524" s="28">
        <f t="shared" si="16"/>
        <v>7.146574741768651E-3</v>
      </c>
      <c r="D524" s="31">
        <v>1893.36</v>
      </c>
      <c r="E524" s="28">
        <f t="shared" si="16"/>
        <v>5.5133325226166194E-3</v>
      </c>
      <c r="J524" s="30">
        <v>45287</v>
      </c>
      <c r="K524" s="28">
        <v>192.284637</v>
      </c>
      <c r="L524" s="28">
        <f t="shared" si="17"/>
        <v>-2.6972976289317443E-3</v>
      </c>
      <c r="M524" s="32">
        <v>4769.83</v>
      </c>
      <c r="N524" s="28">
        <f t="shared" si="17"/>
        <v>-1.030951688973871E-3</v>
      </c>
    </row>
    <row r="525" spans="1:14">
      <c r="A525" s="30">
        <v>42398</v>
      </c>
      <c r="B525" s="28">
        <v>22.126173000000001</v>
      </c>
      <c r="C525" s="28">
        <f t="shared" si="16"/>
        <v>3.3957840164642643E-2</v>
      </c>
      <c r="D525" s="31">
        <v>1940.24</v>
      </c>
      <c r="E525" s="28">
        <f t="shared" si="16"/>
        <v>2.4458648291019413E-2</v>
      </c>
    </row>
    <row r="526" spans="1:14">
      <c r="A526" s="30">
        <v>42401</v>
      </c>
      <c r="B526" s="28">
        <v>21.919329000000001</v>
      </c>
      <c r="C526" s="28">
        <f t="shared" si="16"/>
        <v>-9.3923561403866998E-3</v>
      </c>
      <c r="D526" s="31">
        <v>1939.38</v>
      </c>
      <c r="E526" s="28">
        <f t="shared" si="16"/>
        <v>-4.4334239646468779E-4</v>
      </c>
    </row>
    <row r="527" spans="1:14">
      <c r="A527" s="30">
        <v>42402</v>
      </c>
      <c r="B527" s="28">
        <v>21.476075999999999</v>
      </c>
      <c r="C527" s="28">
        <f t="shared" si="16"/>
        <v>-2.0429278909301751E-2</v>
      </c>
      <c r="D527" s="31">
        <v>1903.03</v>
      </c>
      <c r="E527" s="28">
        <f t="shared" si="16"/>
        <v>-1.8920981595370201E-2</v>
      </c>
    </row>
    <row r="528" spans="1:14">
      <c r="A528" s="30">
        <v>42403</v>
      </c>
      <c r="B528" s="28">
        <v>21.901146000000001</v>
      </c>
      <c r="C528" s="28">
        <f t="shared" si="16"/>
        <v>1.9599392832367668E-2</v>
      </c>
      <c r="D528" s="31">
        <v>1912.53</v>
      </c>
      <c r="E528" s="28">
        <f t="shared" si="16"/>
        <v>4.9796200980441394E-3</v>
      </c>
    </row>
    <row r="529" spans="1:5">
      <c r="A529" s="30">
        <v>42404</v>
      </c>
      <c r="B529" s="28">
        <v>22.077126</v>
      </c>
      <c r="C529" s="28">
        <f t="shared" si="16"/>
        <v>8.0030856729958154E-3</v>
      </c>
      <c r="D529" s="31">
        <v>1915.45</v>
      </c>
      <c r="E529" s="28">
        <f t="shared" si="16"/>
        <v>1.525609102635925E-3</v>
      </c>
    </row>
    <row r="530" spans="1:5">
      <c r="A530" s="30">
        <v>42405</v>
      </c>
      <c r="B530" s="28">
        <v>21.487483999999998</v>
      </c>
      <c r="C530" s="28">
        <f t="shared" si="16"/>
        <v>-2.7071423803746369E-2</v>
      </c>
      <c r="D530" s="31">
        <v>1880.05</v>
      </c>
      <c r="E530" s="28">
        <f t="shared" si="16"/>
        <v>-1.8654209739793221E-2</v>
      </c>
    </row>
    <row r="531" spans="1:5">
      <c r="A531" s="30">
        <v>42408</v>
      </c>
      <c r="B531" s="28">
        <v>21.713743000000001</v>
      </c>
      <c r="C531" s="28">
        <f t="shared" si="16"/>
        <v>1.0474751967843879E-2</v>
      </c>
      <c r="D531" s="31">
        <v>1853.44</v>
      </c>
      <c r="E531" s="28">
        <f t="shared" si="16"/>
        <v>-1.4255000337827674E-2</v>
      </c>
    </row>
    <row r="532" spans="1:5">
      <c r="A532" s="30">
        <v>42409</v>
      </c>
      <c r="B532" s="28">
        <v>21.709164000000001</v>
      </c>
      <c r="C532" s="28">
        <f t="shared" si="16"/>
        <v>-2.1090250899007473E-4</v>
      </c>
      <c r="D532" s="31">
        <v>1852.21</v>
      </c>
      <c r="E532" s="28">
        <f t="shared" si="16"/>
        <v>-6.638511706025009E-4</v>
      </c>
    </row>
    <row r="533" spans="1:5">
      <c r="A533" s="30">
        <v>42410</v>
      </c>
      <c r="B533" s="28">
        <v>21.544619000000001</v>
      </c>
      <c r="C533" s="28">
        <f t="shared" si="16"/>
        <v>-7.6083885545227322E-3</v>
      </c>
      <c r="D533" s="31">
        <v>1851.86</v>
      </c>
      <c r="E533" s="28">
        <f t="shared" si="16"/>
        <v>-1.8898131031094855E-4</v>
      </c>
    </row>
    <row r="534" spans="1:5">
      <c r="A534" s="30">
        <v>42411</v>
      </c>
      <c r="B534" s="28">
        <v>21.414351</v>
      </c>
      <c r="C534" s="28">
        <f t="shared" si="16"/>
        <v>-6.0647822463326152E-3</v>
      </c>
      <c r="D534" s="31">
        <v>1829.08</v>
      </c>
      <c r="E534" s="28">
        <f t="shared" si="16"/>
        <v>-1.2377431213466798E-2</v>
      </c>
    </row>
    <row r="535" spans="1:5">
      <c r="A535" s="30">
        <v>42412</v>
      </c>
      <c r="B535" s="28">
        <v>21.480626999999998</v>
      </c>
      <c r="C535" s="28">
        <f t="shared" si="16"/>
        <v>3.0901544110556551E-3</v>
      </c>
      <c r="D535" s="31">
        <v>1864.78</v>
      </c>
      <c r="E535" s="28">
        <f t="shared" si="16"/>
        <v>1.9329975470501772E-2</v>
      </c>
    </row>
    <row r="536" spans="1:5">
      <c r="A536" s="30">
        <v>42416</v>
      </c>
      <c r="B536" s="28">
        <v>22.086259999999999</v>
      </c>
      <c r="C536" s="28">
        <f t="shared" si="16"/>
        <v>2.7804236560229321E-2</v>
      </c>
      <c r="D536" s="31">
        <v>1895.58</v>
      </c>
      <c r="E536" s="28">
        <f t="shared" si="16"/>
        <v>1.6381776635361386E-2</v>
      </c>
    </row>
    <row r="537" spans="1:5">
      <c r="A537" s="30">
        <v>42417</v>
      </c>
      <c r="B537" s="28">
        <v>22.424509</v>
      </c>
      <c r="C537" s="28">
        <f t="shared" si="16"/>
        <v>1.5198816779904289E-2</v>
      </c>
      <c r="D537" s="31">
        <v>1926.82</v>
      </c>
      <c r="E537" s="28">
        <f t="shared" si="16"/>
        <v>1.634611531802933E-2</v>
      </c>
    </row>
    <row r="538" spans="1:5">
      <c r="A538" s="30">
        <v>42418</v>
      </c>
      <c r="B538" s="28">
        <v>21.999417999999999</v>
      </c>
      <c r="C538" s="28">
        <f t="shared" si="16"/>
        <v>-1.9138514035979735E-2</v>
      </c>
      <c r="D538" s="31">
        <v>1917.83</v>
      </c>
      <c r="E538" s="28">
        <f t="shared" si="16"/>
        <v>-4.6766370852842467E-3</v>
      </c>
    </row>
    <row r="539" spans="1:5">
      <c r="A539" s="30">
        <v>42419</v>
      </c>
      <c r="B539" s="28">
        <v>21.949138999999999</v>
      </c>
      <c r="C539" s="28">
        <f t="shared" si="16"/>
        <v>-2.2880852236222414E-3</v>
      </c>
      <c r="D539" s="31">
        <v>1917.78</v>
      </c>
      <c r="E539" s="28">
        <f t="shared" si="16"/>
        <v>-2.607147233575974E-5</v>
      </c>
    </row>
    <row r="540" spans="1:5">
      <c r="A540" s="30">
        <v>42422</v>
      </c>
      <c r="B540" s="28">
        <v>22.141113000000001</v>
      </c>
      <c r="C540" s="28">
        <f t="shared" si="16"/>
        <v>8.7082837803449994E-3</v>
      </c>
      <c r="D540" s="31">
        <v>1945.5</v>
      </c>
      <c r="E540" s="28">
        <f t="shared" si="16"/>
        <v>1.4350746375528583E-2</v>
      </c>
    </row>
    <row r="541" spans="1:5">
      <c r="A541" s="30">
        <v>42423</v>
      </c>
      <c r="B541" s="28">
        <v>21.640609999999999</v>
      </c>
      <c r="C541" s="28">
        <f t="shared" si="16"/>
        <v>-2.2864554898923844E-2</v>
      </c>
      <c r="D541" s="31">
        <v>1921.27</v>
      </c>
      <c r="E541" s="28">
        <f t="shared" si="16"/>
        <v>-1.2532587736590248E-2</v>
      </c>
    </row>
    <row r="542" spans="1:5">
      <c r="A542" s="30">
        <v>42424</v>
      </c>
      <c r="B542" s="28">
        <v>21.962854</v>
      </c>
      <c r="C542" s="28">
        <f t="shared" si="16"/>
        <v>1.4780929646191722E-2</v>
      </c>
      <c r="D542" s="31">
        <v>1929.8</v>
      </c>
      <c r="E542" s="28">
        <f t="shared" si="16"/>
        <v>4.429944898265448E-3</v>
      </c>
    </row>
    <row r="543" spans="1:5">
      <c r="A543" s="30">
        <v>42425</v>
      </c>
      <c r="B543" s="28">
        <v>22.113690999999999</v>
      </c>
      <c r="C543" s="28">
        <f t="shared" si="16"/>
        <v>6.8443472069143769E-3</v>
      </c>
      <c r="D543" s="31">
        <v>1951.7</v>
      </c>
      <c r="E543" s="28">
        <f t="shared" si="16"/>
        <v>1.1284417050872818E-2</v>
      </c>
    </row>
    <row r="544" spans="1:5">
      <c r="A544" s="30">
        <v>42426</v>
      </c>
      <c r="B544" s="28">
        <v>22.147966</v>
      </c>
      <c r="C544" s="28">
        <f t="shared" si="16"/>
        <v>1.5487448583785077E-3</v>
      </c>
      <c r="D544" s="31">
        <v>1948.05</v>
      </c>
      <c r="E544" s="28">
        <f t="shared" si="16"/>
        <v>-1.8719154129472615E-3</v>
      </c>
    </row>
    <row r="545" spans="1:5">
      <c r="A545" s="30">
        <v>42429</v>
      </c>
      <c r="B545" s="28">
        <v>22.097684999999998</v>
      </c>
      <c r="C545" s="28">
        <f t="shared" si="16"/>
        <v>-2.2728119265147343E-3</v>
      </c>
      <c r="D545" s="31">
        <v>1932.23</v>
      </c>
      <c r="E545" s="28">
        <f t="shared" si="16"/>
        <v>-8.1540959183034733E-3</v>
      </c>
    </row>
    <row r="546" spans="1:5">
      <c r="A546" s="30">
        <v>42430</v>
      </c>
      <c r="B546" s="28">
        <v>22.975287999999999</v>
      </c>
      <c r="C546" s="28">
        <f t="shared" si="16"/>
        <v>3.8946351622007963E-2</v>
      </c>
      <c r="D546" s="31">
        <v>1978.35</v>
      </c>
      <c r="E546" s="28">
        <f t="shared" si="16"/>
        <v>2.3588387634097943E-2</v>
      </c>
    </row>
    <row r="547" spans="1:5">
      <c r="A547" s="30">
        <v>42431</v>
      </c>
      <c r="B547" s="28">
        <v>23.025576000000001</v>
      </c>
      <c r="C547" s="28">
        <f t="shared" si="16"/>
        <v>2.1863945874032076E-3</v>
      </c>
      <c r="D547" s="31">
        <v>1986.45</v>
      </c>
      <c r="E547" s="28">
        <f t="shared" si="16"/>
        <v>4.0859621010796536E-3</v>
      </c>
    </row>
    <row r="548" spans="1:5">
      <c r="A548" s="30">
        <v>42432</v>
      </c>
      <c r="B548" s="28">
        <v>23.196975999999999</v>
      </c>
      <c r="C548" s="28">
        <f t="shared" si="16"/>
        <v>7.4163272339392398E-3</v>
      </c>
      <c r="D548" s="31">
        <v>1993.4</v>
      </c>
      <c r="E548" s="28">
        <f t="shared" si="16"/>
        <v>3.4925974922729325E-3</v>
      </c>
    </row>
    <row r="549" spans="1:5">
      <c r="A549" s="30">
        <v>42433</v>
      </c>
      <c r="B549" s="28">
        <v>23.542072000000001</v>
      </c>
      <c r="C549" s="28">
        <f t="shared" si="16"/>
        <v>1.4767193000334772E-2</v>
      </c>
      <c r="D549" s="31">
        <v>1999.99</v>
      </c>
      <c r="E549" s="28">
        <f t="shared" si="16"/>
        <v>3.3004569962263434E-3</v>
      </c>
    </row>
    <row r="550" spans="1:5">
      <c r="A550" s="30">
        <v>42436</v>
      </c>
      <c r="B550" s="28">
        <v>23.281534000000001</v>
      </c>
      <c r="C550" s="28">
        <f t="shared" si="16"/>
        <v>-1.1128604186239382E-2</v>
      </c>
      <c r="D550" s="31">
        <v>2001.76</v>
      </c>
      <c r="E550" s="28">
        <f t="shared" si="16"/>
        <v>8.8461303950758267E-4</v>
      </c>
    </row>
    <row r="551" spans="1:5">
      <c r="A551" s="30">
        <v>42437</v>
      </c>
      <c r="B551" s="28">
        <v>23.089559999999999</v>
      </c>
      <c r="C551" s="28">
        <f t="shared" si="16"/>
        <v>-8.2799468466508361E-3</v>
      </c>
      <c r="D551" s="31">
        <v>1979.26</v>
      </c>
      <c r="E551" s="28">
        <f t="shared" si="16"/>
        <v>-1.1303756111464681E-2</v>
      </c>
    </row>
    <row r="552" spans="1:5">
      <c r="A552" s="30">
        <v>42438</v>
      </c>
      <c r="B552" s="28">
        <v>23.110128</v>
      </c>
      <c r="C552" s="28">
        <f t="shared" si="16"/>
        <v>8.9039568227681175E-4</v>
      </c>
      <c r="D552" s="31">
        <v>1989.26</v>
      </c>
      <c r="E552" s="28">
        <f t="shared" si="16"/>
        <v>5.0396728076172173E-3</v>
      </c>
    </row>
    <row r="553" spans="1:5">
      <c r="A553" s="30">
        <v>42439</v>
      </c>
      <c r="B553" s="28">
        <v>23.121552000000001</v>
      </c>
      <c r="C553" s="28">
        <f t="shared" si="16"/>
        <v>4.9420658009907508E-4</v>
      </c>
      <c r="D553" s="31">
        <v>1989.57</v>
      </c>
      <c r="E553" s="28">
        <f t="shared" si="16"/>
        <v>1.5582470255186083E-4</v>
      </c>
    </row>
    <row r="554" spans="1:5">
      <c r="A554" s="30">
        <v>42440</v>
      </c>
      <c r="B554" s="28">
        <v>23.370667000000001</v>
      </c>
      <c r="C554" s="28">
        <f t="shared" si="16"/>
        <v>1.0716519428966613E-2</v>
      </c>
      <c r="D554" s="31">
        <v>2022.19</v>
      </c>
      <c r="E554" s="28">
        <f t="shared" si="16"/>
        <v>1.6262547567990299E-2</v>
      </c>
    </row>
    <row r="555" spans="1:5">
      <c r="A555" s="30">
        <v>42443</v>
      </c>
      <c r="B555" s="28">
        <v>23.430085999999999</v>
      </c>
      <c r="C555" s="28">
        <f t="shared" si="16"/>
        <v>2.5392340130238602E-3</v>
      </c>
      <c r="D555" s="31">
        <v>2019.64</v>
      </c>
      <c r="E555" s="28">
        <f t="shared" si="16"/>
        <v>-1.2618048449994732E-3</v>
      </c>
    </row>
    <row r="556" spans="1:5">
      <c r="A556" s="30">
        <v>42444</v>
      </c>
      <c r="B556" s="28">
        <v>23.900880999999998</v>
      </c>
      <c r="C556" s="28">
        <f t="shared" si="16"/>
        <v>1.9894397161903329E-2</v>
      </c>
      <c r="D556" s="31">
        <v>2015.93</v>
      </c>
      <c r="E556" s="28">
        <f t="shared" si="16"/>
        <v>-1.8386503245784805E-3</v>
      </c>
    </row>
    <row r="557" spans="1:5">
      <c r="A557" s="30">
        <v>42445</v>
      </c>
      <c r="B557" s="28">
        <v>24.218558999999999</v>
      </c>
      <c r="C557" s="28">
        <f t="shared" si="16"/>
        <v>1.3203919888142186E-2</v>
      </c>
      <c r="D557" s="31">
        <v>2027.22</v>
      </c>
      <c r="E557" s="28">
        <f t="shared" si="16"/>
        <v>5.5847689767839007E-3</v>
      </c>
    </row>
    <row r="558" spans="1:5">
      <c r="A558" s="30">
        <v>42446</v>
      </c>
      <c r="B558" s="28">
        <v>24.179704999999998</v>
      </c>
      <c r="C558" s="28">
        <f t="shared" si="16"/>
        <v>-1.6055951241112816E-3</v>
      </c>
      <c r="D558" s="31">
        <v>2040.59</v>
      </c>
      <c r="E558" s="28">
        <f t="shared" si="16"/>
        <v>6.5735853667514303E-3</v>
      </c>
    </row>
    <row r="559" spans="1:5">
      <c r="A559" s="30">
        <v>42447</v>
      </c>
      <c r="B559" s="28">
        <v>24.207134</v>
      </c>
      <c r="C559" s="28">
        <f t="shared" si="16"/>
        <v>1.1337381612392754E-3</v>
      </c>
      <c r="D559" s="31">
        <v>2049.58</v>
      </c>
      <c r="E559" s="28">
        <f t="shared" si="16"/>
        <v>4.3959123835568669E-3</v>
      </c>
    </row>
    <row r="560" spans="1:5">
      <c r="A560" s="30">
        <v>42450</v>
      </c>
      <c r="B560" s="28">
        <v>24.204841999999999</v>
      </c>
      <c r="C560" s="28">
        <f t="shared" si="16"/>
        <v>-9.4687314631106104E-5</v>
      </c>
      <c r="D560" s="31">
        <v>2051.6</v>
      </c>
      <c r="E560" s="28">
        <f t="shared" si="16"/>
        <v>9.8508242181442169E-4</v>
      </c>
    </row>
    <row r="561" spans="1:5">
      <c r="A561" s="30">
        <v>42451</v>
      </c>
      <c r="B561" s="28">
        <v>24.389965</v>
      </c>
      <c r="C561" s="28">
        <f t="shared" si="16"/>
        <v>7.6190814190430283E-3</v>
      </c>
      <c r="D561" s="31">
        <v>2049.8000000000002</v>
      </c>
      <c r="E561" s="28">
        <f t="shared" si="16"/>
        <v>-8.7774911765066258E-4</v>
      </c>
    </row>
    <row r="562" spans="1:5">
      <c r="A562" s="30">
        <v>42452</v>
      </c>
      <c r="B562" s="28">
        <v>24.255119000000001</v>
      </c>
      <c r="C562" s="28">
        <f t="shared" si="16"/>
        <v>-5.544089322398465E-3</v>
      </c>
      <c r="D562" s="31">
        <v>2036.71</v>
      </c>
      <c r="E562" s="28">
        <f t="shared" si="16"/>
        <v>-6.4064665305301419E-3</v>
      </c>
    </row>
    <row r="563" spans="1:5">
      <c r="A563" s="30">
        <v>42453</v>
      </c>
      <c r="B563" s="28">
        <v>24.149989999999999</v>
      </c>
      <c r="C563" s="28">
        <f t="shared" si="16"/>
        <v>-4.3437218702297598E-3</v>
      </c>
      <c r="D563" s="31">
        <v>2035.94</v>
      </c>
      <c r="E563" s="28">
        <f t="shared" si="16"/>
        <v>-3.7813217888834326E-4</v>
      </c>
    </row>
    <row r="564" spans="1:5">
      <c r="A564" s="30">
        <v>42457</v>
      </c>
      <c r="B564" s="28">
        <v>24.040296999999999</v>
      </c>
      <c r="C564" s="28">
        <f t="shared" si="16"/>
        <v>-4.5525020198114623E-3</v>
      </c>
      <c r="D564" s="31">
        <v>2037.05</v>
      </c>
      <c r="E564" s="28">
        <f t="shared" si="16"/>
        <v>5.4505413835056777E-4</v>
      </c>
    </row>
    <row r="565" spans="1:5">
      <c r="A565" s="30">
        <v>42458</v>
      </c>
      <c r="B565" s="28">
        <v>24.609358</v>
      </c>
      <c r="C565" s="28">
        <f t="shared" si="16"/>
        <v>2.3395313106162774E-2</v>
      </c>
      <c r="D565" s="31">
        <v>2055.0100000000002</v>
      </c>
      <c r="E565" s="28">
        <f t="shared" si="16"/>
        <v>8.7780312721493121E-3</v>
      </c>
    </row>
    <row r="566" spans="1:5">
      <c r="A566" s="30">
        <v>42459</v>
      </c>
      <c r="B566" s="28">
        <v>25.039021999999999</v>
      </c>
      <c r="C566" s="28">
        <f t="shared" si="16"/>
        <v>1.7308710854973996E-2</v>
      </c>
      <c r="D566" s="31">
        <v>2063.9499999999998</v>
      </c>
      <c r="E566" s="28">
        <f t="shared" si="16"/>
        <v>4.3409084032825307E-3</v>
      </c>
    </row>
    <row r="567" spans="1:5">
      <c r="A567" s="30">
        <v>42460</v>
      </c>
      <c r="B567" s="28">
        <v>24.908747000000002</v>
      </c>
      <c r="C567" s="28">
        <f t="shared" si="16"/>
        <v>-5.2164610361010609E-3</v>
      </c>
      <c r="D567" s="31">
        <v>2059.7399999999998</v>
      </c>
      <c r="E567" s="28">
        <f t="shared" si="16"/>
        <v>-2.041861276038347E-3</v>
      </c>
    </row>
    <row r="568" spans="1:5">
      <c r="A568" s="30">
        <v>42461</v>
      </c>
      <c r="B568" s="28">
        <v>25.137298999999999</v>
      </c>
      <c r="C568" s="28">
        <f t="shared" si="16"/>
        <v>9.1337321198772751E-3</v>
      </c>
      <c r="D568" s="31">
        <v>2072.7800000000002</v>
      </c>
      <c r="E568" s="28">
        <f t="shared" si="16"/>
        <v>6.3109401913092533E-3</v>
      </c>
    </row>
    <row r="569" spans="1:5">
      <c r="A569" s="30">
        <v>42464</v>
      </c>
      <c r="B569" s="28">
        <v>25.395548000000002</v>
      </c>
      <c r="C569" s="28">
        <f t="shared" si="16"/>
        <v>1.0221124026455945E-2</v>
      </c>
      <c r="D569" s="31">
        <v>2066.13</v>
      </c>
      <c r="E569" s="28">
        <f t="shared" si="16"/>
        <v>-3.2134091933979764E-3</v>
      </c>
    </row>
    <row r="570" spans="1:5">
      <c r="A570" s="30">
        <v>42465</v>
      </c>
      <c r="B570" s="28">
        <v>25.096159</v>
      </c>
      <c r="C570" s="28">
        <f t="shared" si="16"/>
        <v>-1.185907653204831E-2</v>
      </c>
      <c r="D570" s="31">
        <v>2045.17</v>
      </c>
      <c r="E570" s="28">
        <f t="shared" si="16"/>
        <v>-1.0196376617517549E-2</v>
      </c>
    </row>
    <row r="571" spans="1:5">
      <c r="A571" s="30">
        <v>42466</v>
      </c>
      <c r="B571" s="28">
        <v>25.358979999999999</v>
      </c>
      <c r="C571" s="28">
        <f t="shared" si="16"/>
        <v>1.0418101400627064E-2</v>
      </c>
      <c r="D571" s="31">
        <v>2066.66</v>
      </c>
      <c r="E571" s="28">
        <f t="shared" si="16"/>
        <v>1.0452861947236771E-2</v>
      </c>
    </row>
    <row r="572" spans="1:5">
      <c r="A572" s="30">
        <v>42467</v>
      </c>
      <c r="B572" s="28">
        <v>24.805906</v>
      </c>
      <c r="C572" s="28">
        <f t="shared" si="16"/>
        <v>-2.205113795978789E-2</v>
      </c>
      <c r="D572" s="31">
        <v>2041.91</v>
      </c>
      <c r="E572" s="28">
        <f t="shared" si="16"/>
        <v>-1.2048133236940891E-2</v>
      </c>
    </row>
    <row r="573" spans="1:5">
      <c r="A573" s="30">
        <v>42468</v>
      </c>
      <c r="B573" s="28">
        <v>24.83333</v>
      </c>
      <c r="C573" s="28">
        <f t="shared" si="16"/>
        <v>1.1049325090380629E-3</v>
      </c>
      <c r="D573" s="31">
        <v>2047.6</v>
      </c>
      <c r="E573" s="28">
        <f t="shared" si="16"/>
        <v>2.782731266950438E-3</v>
      </c>
    </row>
    <row r="574" spans="1:5">
      <c r="A574" s="30">
        <v>42471</v>
      </c>
      <c r="B574" s="28">
        <v>24.915606</v>
      </c>
      <c r="C574" s="28">
        <f t="shared" si="16"/>
        <v>3.30765164553911E-3</v>
      </c>
      <c r="D574" s="31">
        <v>2041.99</v>
      </c>
      <c r="E574" s="28">
        <f t="shared" si="16"/>
        <v>-2.7435530304558238E-3</v>
      </c>
    </row>
    <row r="575" spans="1:5">
      <c r="A575" s="30">
        <v>42472</v>
      </c>
      <c r="B575" s="28">
        <v>25.240133</v>
      </c>
      <c r="C575" s="28">
        <f t="shared" si="16"/>
        <v>1.2940952938011929E-2</v>
      </c>
      <c r="D575" s="31">
        <v>2061.7199999999998</v>
      </c>
      <c r="E575" s="28">
        <f t="shared" si="16"/>
        <v>9.6157633089034942E-3</v>
      </c>
    </row>
    <row r="576" spans="1:5">
      <c r="A576" s="30">
        <v>42473</v>
      </c>
      <c r="B576" s="28">
        <v>25.605801</v>
      </c>
      <c r="C576" s="28">
        <f t="shared" si="16"/>
        <v>1.4383620305002348E-2</v>
      </c>
      <c r="D576" s="31">
        <v>2082.42</v>
      </c>
      <c r="E576" s="28">
        <f t="shared" si="16"/>
        <v>9.9900930750864061E-3</v>
      </c>
    </row>
    <row r="577" spans="1:5">
      <c r="A577" s="30">
        <v>42474</v>
      </c>
      <c r="B577" s="28">
        <v>25.619513999999999</v>
      </c>
      <c r="C577" s="28">
        <f t="shared" si="16"/>
        <v>5.3539935586815156E-4</v>
      </c>
      <c r="D577" s="31">
        <v>2082.7800000000002</v>
      </c>
      <c r="E577" s="28">
        <f t="shared" si="16"/>
        <v>1.7286084744860797E-4</v>
      </c>
    </row>
    <row r="578" spans="1:5">
      <c r="A578" s="30">
        <v>42475</v>
      </c>
      <c r="B578" s="28">
        <v>25.105295000000002</v>
      </c>
      <c r="C578" s="28">
        <f t="shared" si="16"/>
        <v>-2.0275546668716692E-2</v>
      </c>
      <c r="D578" s="31">
        <v>2080.73</v>
      </c>
      <c r="E578" s="28">
        <f t="shared" si="16"/>
        <v>-9.8474612318046658E-4</v>
      </c>
    </row>
    <row r="579" spans="1:5">
      <c r="A579" s="30">
        <v>42478</v>
      </c>
      <c r="B579" s="28">
        <v>24.563654</v>
      </c>
      <c r="C579" s="28">
        <f t="shared" si="16"/>
        <v>-2.1810909350765326E-2</v>
      </c>
      <c r="D579" s="31">
        <v>2094.34</v>
      </c>
      <c r="E579" s="28">
        <f t="shared" si="16"/>
        <v>6.5196742612829879E-3</v>
      </c>
    </row>
    <row r="580" spans="1:5">
      <c r="A580" s="30">
        <v>42479</v>
      </c>
      <c r="B580" s="28">
        <v>24.433388000000001</v>
      </c>
      <c r="C580" s="28">
        <f t="shared" si="16"/>
        <v>-5.3173131115259844E-3</v>
      </c>
      <c r="D580" s="31">
        <v>2100.8000000000002</v>
      </c>
      <c r="E580" s="28">
        <f t="shared" si="16"/>
        <v>3.0797566260183499E-3</v>
      </c>
    </row>
    <row r="581" spans="1:5">
      <c r="A581" s="30">
        <v>42480</v>
      </c>
      <c r="B581" s="28">
        <v>24.483668999999999</v>
      </c>
      <c r="C581" s="28">
        <f t="shared" ref="C581:E644" si="18">LN(B581/B580)</f>
        <v>2.0557662619819384E-3</v>
      </c>
      <c r="D581" s="31">
        <v>2102.4</v>
      </c>
      <c r="E581" s="28">
        <f t="shared" si="18"/>
        <v>7.6132474175960086E-4</v>
      </c>
    </row>
    <row r="582" spans="1:5">
      <c r="A582" s="30">
        <v>42481</v>
      </c>
      <c r="B582" s="28">
        <v>24.218558999999999</v>
      </c>
      <c r="C582" s="28">
        <f t="shared" si="18"/>
        <v>-1.0887083793693417E-2</v>
      </c>
      <c r="D582" s="31">
        <v>2091.48</v>
      </c>
      <c r="E582" s="28">
        <f t="shared" si="18"/>
        <v>-5.207599968700849E-3</v>
      </c>
    </row>
    <row r="583" spans="1:5">
      <c r="A583" s="30">
        <v>42482</v>
      </c>
      <c r="B583" s="28">
        <v>24.152280999999999</v>
      </c>
      <c r="C583" s="28">
        <f t="shared" si="18"/>
        <v>-2.7404130868194407E-3</v>
      </c>
      <c r="D583" s="31">
        <v>2091.58</v>
      </c>
      <c r="E583" s="28">
        <f t="shared" si="18"/>
        <v>4.7811888913341718E-5</v>
      </c>
    </row>
    <row r="584" spans="1:5">
      <c r="A584" s="30">
        <v>42485</v>
      </c>
      <c r="B584" s="28">
        <v>24.015156000000001</v>
      </c>
      <c r="C584" s="28">
        <f t="shared" si="18"/>
        <v>-5.6936959483630725E-3</v>
      </c>
      <c r="D584" s="31">
        <v>2087.79</v>
      </c>
      <c r="E584" s="28">
        <f t="shared" si="18"/>
        <v>-1.8136709785938731E-3</v>
      </c>
    </row>
    <row r="585" spans="1:5">
      <c r="A585" s="30">
        <v>42486</v>
      </c>
      <c r="B585" s="28">
        <v>23.848322</v>
      </c>
      <c r="C585" s="28">
        <f t="shared" si="18"/>
        <v>-6.9712725706336555E-3</v>
      </c>
      <c r="D585" s="31">
        <v>2091.6999999999998</v>
      </c>
      <c r="E585" s="28">
        <f t="shared" si="18"/>
        <v>1.8710422279640288E-3</v>
      </c>
    </row>
    <row r="586" spans="1:5">
      <c r="A586" s="30">
        <v>42487</v>
      </c>
      <c r="B586" s="28">
        <v>22.35594</v>
      </c>
      <c r="C586" s="28">
        <f t="shared" si="18"/>
        <v>-6.4621800904506338E-2</v>
      </c>
      <c r="D586" s="31">
        <v>2095.15</v>
      </c>
      <c r="E586" s="28">
        <f t="shared" si="18"/>
        <v>1.6480173786207935E-3</v>
      </c>
    </row>
    <row r="587" spans="1:5">
      <c r="A587" s="30">
        <v>42488</v>
      </c>
      <c r="B587" s="28">
        <v>21.672605999999998</v>
      </c>
      <c r="C587" s="28">
        <f t="shared" si="18"/>
        <v>-3.1042990821002148E-2</v>
      </c>
      <c r="D587" s="31">
        <v>2075.81</v>
      </c>
      <c r="E587" s="28">
        <f t="shared" si="18"/>
        <v>-9.2737108991200311E-3</v>
      </c>
    </row>
    <row r="588" spans="1:5">
      <c r="A588" s="30">
        <v>42489</v>
      </c>
      <c r="B588" s="28">
        <v>21.423487000000002</v>
      </c>
      <c r="C588" s="28">
        <f t="shared" si="18"/>
        <v>-1.1561223185746219E-2</v>
      </c>
      <c r="D588" s="31">
        <v>2065.3000000000002</v>
      </c>
      <c r="E588" s="28">
        <f t="shared" si="18"/>
        <v>-5.0759446457705557E-3</v>
      </c>
    </row>
    <row r="589" spans="1:5">
      <c r="A589" s="30">
        <v>42492</v>
      </c>
      <c r="B589" s="28">
        <v>21.400637</v>
      </c>
      <c r="C589" s="28">
        <f t="shared" si="18"/>
        <v>-1.0671556139015049E-3</v>
      </c>
      <c r="D589" s="31">
        <v>2081.4299999999998</v>
      </c>
      <c r="E589" s="28">
        <f t="shared" si="18"/>
        <v>7.779663181895582E-3</v>
      </c>
    </row>
    <row r="590" spans="1:5">
      <c r="A590" s="30">
        <v>42493</v>
      </c>
      <c r="B590" s="28">
        <v>21.752592</v>
      </c>
      <c r="C590" s="28">
        <f t="shared" si="18"/>
        <v>1.6312234908081313E-2</v>
      </c>
      <c r="D590" s="31">
        <v>2063.37</v>
      </c>
      <c r="E590" s="28">
        <f t="shared" si="18"/>
        <v>-8.7145890251247322E-3</v>
      </c>
    </row>
    <row r="591" spans="1:5">
      <c r="A591" s="30">
        <v>42494</v>
      </c>
      <c r="B591" s="28">
        <v>21.526337000000002</v>
      </c>
      <c r="C591" s="28">
        <f t="shared" si="18"/>
        <v>-1.0455760642068969E-2</v>
      </c>
      <c r="D591" s="31">
        <v>2051.12</v>
      </c>
      <c r="E591" s="28">
        <f t="shared" si="18"/>
        <v>-5.9545830446672615E-3</v>
      </c>
    </row>
    <row r="592" spans="1:5">
      <c r="A592" s="30">
        <v>42495</v>
      </c>
      <c r="B592" s="28">
        <v>21.438963000000001</v>
      </c>
      <c r="C592" s="28">
        <f t="shared" si="18"/>
        <v>-4.0671947104084401E-3</v>
      </c>
      <c r="D592" s="31">
        <v>2050.63</v>
      </c>
      <c r="E592" s="28">
        <f t="shared" si="18"/>
        <v>-2.3892241230235656E-4</v>
      </c>
    </row>
    <row r="593" spans="1:5">
      <c r="A593" s="30">
        <v>42496</v>
      </c>
      <c r="B593" s="28">
        <v>21.319393000000002</v>
      </c>
      <c r="C593" s="28">
        <f t="shared" si="18"/>
        <v>-5.5928395225258347E-3</v>
      </c>
      <c r="D593" s="31">
        <v>2057.14</v>
      </c>
      <c r="E593" s="28">
        <f t="shared" si="18"/>
        <v>3.1696056255198523E-3</v>
      </c>
    </row>
    <row r="594" spans="1:5">
      <c r="A594" s="30">
        <v>42499</v>
      </c>
      <c r="B594" s="28">
        <v>21.335487000000001</v>
      </c>
      <c r="C594" s="28">
        <f t="shared" si="18"/>
        <v>7.546147481233929E-4</v>
      </c>
      <c r="D594" s="31">
        <v>2058.69</v>
      </c>
      <c r="E594" s="28">
        <f t="shared" si="18"/>
        <v>7.5318955023680417E-4</v>
      </c>
    </row>
    <row r="595" spans="1:5">
      <c r="A595" s="30">
        <v>42500</v>
      </c>
      <c r="B595" s="28">
        <v>21.480345</v>
      </c>
      <c r="C595" s="28">
        <f t="shared" si="18"/>
        <v>6.7665882430558355E-3</v>
      </c>
      <c r="D595" s="31">
        <v>2084.39</v>
      </c>
      <c r="E595" s="28">
        <f t="shared" si="18"/>
        <v>1.2406388310731433E-2</v>
      </c>
    </row>
    <row r="596" spans="1:5">
      <c r="A596" s="30">
        <v>42501</v>
      </c>
      <c r="B596" s="28">
        <v>21.271111999999999</v>
      </c>
      <c r="C596" s="28">
        <f t="shared" si="18"/>
        <v>-9.7884229117467005E-3</v>
      </c>
      <c r="D596" s="31">
        <v>2064.46</v>
      </c>
      <c r="E596" s="28">
        <f t="shared" si="18"/>
        <v>-9.6075554928176481E-3</v>
      </c>
    </row>
    <row r="597" spans="1:5">
      <c r="A597" s="30">
        <v>42502</v>
      </c>
      <c r="B597" s="28">
        <v>20.772155999999999</v>
      </c>
      <c r="C597" s="28">
        <f t="shared" si="18"/>
        <v>-2.3736471988812659E-2</v>
      </c>
      <c r="D597" s="31">
        <v>2064.11</v>
      </c>
      <c r="E597" s="28">
        <f t="shared" si="18"/>
        <v>-1.6955023208444766E-4</v>
      </c>
    </row>
    <row r="598" spans="1:5">
      <c r="A598" s="30">
        <v>42503</v>
      </c>
      <c r="B598" s="28">
        <v>20.813542999999999</v>
      </c>
      <c r="C598" s="28">
        <f t="shared" si="18"/>
        <v>1.9904445354716324E-3</v>
      </c>
      <c r="D598" s="31">
        <v>2046.61</v>
      </c>
      <c r="E598" s="28">
        <f t="shared" si="18"/>
        <v>-8.5143749616302909E-3</v>
      </c>
    </row>
    <row r="599" spans="1:5">
      <c r="A599" s="30">
        <v>42506</v>
      </c>
      <c r="B599" s="28">
        <v>21.586117000000002</v>
      </c>
      <c r="C599" s="28">
        <f t="shared" si="18"/>
        <v>3.6446495969105264E-2</v>
      </c>
      <c r="D599" s="31">
        <v>2066.66</v>
      </c>
      <c r="E599" s="28">
        <f t="shared" si="18"/>
        <v>9.7490117600573523E-3</v>
      </c>
    </row>
    <row r="600" spans="1:5">
      <c r="A600" s="30">
        <v>42507</v>
      </c>
      <c r="B600" s="28">
        <v>21.496447</v>
      </c>
      <c r="C600" s="28">
        <f t="shared" si="18"/>
        <v>-4.1627109047945683E-3</v>
      </c>
      <c r="D600" s="31">
        <v>2047.21</v>
      </c>
      <c r="E600" s="28">
        <f t="shared" si="18"/>
        <v>-9.4558869991757388E-3</v>
      </c>
    </row>
    <row r="601" spans="1:5">
      <c r="A601" s="30">
        <v>42508</v>
      </c>
      <c r="B601" s="28">
        <v>21.742471999999999</v>
      </c>
      <c r="C601" s="28">
        <f t="shared" si="18"/>
        <v>1.1379917017145903E-2</v>
      </c>
      <c r="D601" s="31">
        <v>2047.63</v>
      </c>
      <c r="E601" s="28">
        <f t="shared" si="18"/>
        <v>2.0513622093808805E-4</v>
      </c>
    </row>
    <row r="602" spans="1:5">
      <c r="A602" s="30">
        <v>42509</v>
      </c>
      <c r="B602" s="28">
        <v>21.659694999999999</v>
      </c>
      <c r="C602" s="28">
        <f t="shared" si="18"/>
        <v>-3.8144224626313482E-3</v>
      </c>
      <c r="D602" s="31">
        <v>2040.04</v>
      </c>
      <c r="E602" s="28">
        <f t="shared" si="18"/>
        <v>-3.7136112860127355E-3</v>
      </c>
    </row>
    <row r="603" spans="1:5">
      <c r="A603" s="30">
        <v>42510</v>
      </c>
      <c r="B603" s="28">
        <v>21.894234000000001</v>
      </c>
      <c r="C603" s="28">
        <f t="shared" si="18"/>
        <v>1.0770154267006683E-2</v>
      </c>
      <c r="D603" s="31">
        <v>2052.3200000000002</v>
      </c>
      <c r="E603" s="28">
        <f t="shared" si="18"/>
        <v>6.0014450623727053E-3</v>
      </c>
    </row>
    <row r="604" spans="1:5">
      <c r="A604" s="30">
        <v>42513</v>
      </c>
      <c r="B604" s="28">
        <v>22.172445</v>
      </c>
      <c r="C604" s="28">
        <f t="shared" si="18"/>
        <v>1.2626987230224191E-2</v>
      </c>
      <c r="D604" s="31">
        <v>2048.04</v>
      </c>
      <c r="E604" s="28">
        <f t="shared" si="18"/>
        <v>-2.0876223328746188E-3</v>
      </c>
    </row>
    <row r="605" spans="1:5">
      <c r="A605" s="30">
        <v>42514</v>
      </c>
      <c r="B605" s="28">
        <v>22.510448</v>
      </c>
      <c r="C605" s="28">
        <f t="shared" si="18"/>
        <v>1.5129255271090472E-2</v>
      </c>
      <c r="D605" s="31">
        <v>2076.06</v>
      </c>
      <c r="E605" s="28">
        <f t="shared" si="18"/>
        <v>1.3588628383570183E-2</v>
      </c>
    </row>
    <row r="606" spans="1:5">
      <c r="A606" s="30">
        <v>42515</v>
      </c>
      <c r="B606" s="28">
        <v>22.905937000000002</v>
      </c>
      <c r="C606" s="28">
        <f t="shared" si="18"/>
        <v>1.741657761440735E-2</v>
      </c>
      <c r="D606" s="31">
        <v>2090.54</v>
      </c>
      <c r="E606" s="28">
        <f t="shared" si="18"/>
        <v>6.9505391897537305E-3</v>
      </c>
    </row>
    <row r="607" spans="1:5">
      <c r="A607" s="30">
        <v>42516</v>
      </c>
      <c r="B607" s="28">
        <v>23.087584</v>
      </c>
      <c r="C607" s="28">
        <f t="shared" si="18"/>
        <v>7.8988492505101902E-3</v>
      </c>
      <c r="D607" s="31">
        <v>2090.1</v>
      </c>
      <c r="E607" s="28">
        <f t="shared" si="18"/>
        <v>-2.1049408780701167E-4</v>
      </c>
    </row>
    <row r="608" spans="1:5">
      <c r="A608" s="30">
        <v>42517</v>
      </c>
      <c r="B608" s="28">
        <v>23.073782000000001</v>
      </c>
      <c r="C608" s="28">
        <f t="shared" si="18"/>
        <v>-5.9798925409991564E-4</v>
      </c>
      <c r="D608" s="31">
        <v>2099.06</v>
      </c>
      <c r="E608" s="28">
        <f t="shared" si="18"/>
        <v>4.2777137484011473E-3</v>
      </c>
    </row>
    <row r="609" spans="1:5">
      <c r="A609" s="30">
        <v>42521</v>
      </c>
      <c r="B609" s="28">
        <v>22.961123000000001</v>
      </c>
      <c r="C609" s="28">
        <f t="shared" si="18"/>
        <v>-4.8945131919904692E-3</v>
      </c>
      <c r="D609" s="31">
        <v>2096.9499999999998</v>
      </c>
      <c r="E609" s="28">
        <f t="shared" si="18"/>
        <v>-1.0057174210022859E-3</v>
      </c>
    </row>
    <row r="610" spans="1:5">
      <c r="A610" s="30">
        <v>42522</v>
      </c>
      <c r="B610" s="28">
        <v>22.639212000000001</v>
      </c>
      <c r="C610" s="28">
        <f t="shared" si="18"/>
        <v>-1.4119034329539046E-2</v>
      </c>
      <c r="D610" s="31">
        <v>2099.33</v>
      </c>
      <c r="E610" s="28">
        <f t="shared" si="18"/>
        <v>1.1343381543654862E-3</v>
      </c>
    </row>
    <row r="611" spans="1:5">
      <c r="A611" s="30">
        <v>42523</v>
      </c>
      <c r="B611" s="28">
        <v>22.469066999999999</v>
      </c>
      <c r="C611" s="28">
        <f t="shared" si="18"/>
        <v>-7.5438837697392172E-3</v>
      </c>
      <c r="D611" s="31">
        <v>2105.2600000000002</v>
      </c>
      <c r="E611" s="28">
        <f t="shared" si="18"/>
        <v>2.8207287425610055E-3</v>
      </c>
    </row>
    <row r="612" spans="1:5">
      <c r="A612" s="30">
        <v>42524</v>
      </c>
      <c r="B612" s="28">
        <v>22.515041</v>
      </c>
      <c r="C612" s="28">
        <f t="shared" si="18"/>
        <v>2.0440114542918169E-3</v>
      </c>
      <c r="D612" s="31">
        <v>2099.13</v>
      </c>
      <c r="E612" s="28">
        <f t="shared" si="18"/>
        <v>-2.916001771314822E-3</v>
      </c>
    </row>
    <row r="613" spans="1:5">
      <c r="A613" s="30">
        <v>42527</v>
      </c>
      <c r="B613" s="28">
        <v>22.678303</v>
      </c>
      <c r="C613" s="28">
        <f t="shared" si="18"/>
        <v>7.2250776668730471E-3</v>
      </c>
      <c r="D613" s="31">
        <v>2109.41</v>
      </c>
      <c r="E613" s="28">
        <f t="shared" si="18"/>
        <v>4.8853143586385676E-3</v>
      </c>
    </row>
    <row r="614" spans="1:5">
      <c r="A614" s="30">
        <v>42528</v>
      </c>
      <c r="B614" s="28">
        <v>22.770268999999999</v>
      </c>
      <c r="C614" s="28">
        <f t="shared" si="18"/>
        <v>4.0470413689738371E-3</v>
      </c>
      <c r="D614" s="31">
        <v>2112.13</v>
      </c>
      <c r="E614" s="28">
        <f t="shared" si="18"/>
        <v>1.2886294463136218E-3</v>
      </c>
    </row>
    <row r="615" spans="1:5">
      <c r="A615" s="30">
        <v>42529</v>
      </c>
      <c r="B615" s="28">
        <v>22.749580000000002</v>
      </c>
      <c r="C615" s="28">
        <f t="shared" si="18"/>
        <v>-9.0901010785892408E-4</v>
      </c>
      <c r="D615" s="31">
        <v>2119.12</v>
      </c>
      <c r="E615" s="28">
        <f t="shared" si="18"/>
        <v>3.3039911887868061E-3</v>
      </c>
    </row>
    <row r="616" spans="1:5">
      <c r="A616" s="30">
        <v>42530</v>
      </c>
      <c r="B616" s="28">
        <v>22.912832000000002</v>
      </c>
      <c r="C616" s="28">
        <f t="shared" si="18"/>
        <v>7.1504192800200895E-3</v>
      </c>
      <c r="D616" s="31">
        <v>2115.48</v>
      </c>
      <c r="E616" s="28">
        <f t="shared" si="18"/>
        <v>-1.7191710652795132E-3</v>
      </c>
    </row>
    <row r="617" spans="1:5">
      <c r="A617" s="30">
        <v>42531</v>
      </c>
      <c r="B617" s="28">
        <v>22.724283</v>
      </c>
      <c r="C617" s="28">
        <f t="shared" si="18"/>
        <v>-8.2630145574227737E-3</v>
      </c>
      <c r="D617" s="31">
        <v>2096.0700000000002</v>
      </c>
      <c r="E617" s="28">
        <f t="shared" si="18"/>
        <v>-9.2175742558201733E-3</v>
      </c>
    </row>
    <row r="618" spans="1:5">
      <c r="A618" s="30">
        <v>42534</v>
      </c>
      <c r="B618" s="28">
        <v>22.381679999999999</v>
      </c>
      <c r="C618" s="28">
        <f t="shared" si="18"/>
        <v>-1.5191321320159034E-2</v>
      </c>
      <c r="D618" s="31">
        <v>2079.06</v>
      </c>
      <c r="E618" s="28">
        <f t="shared" si="18"/>
        <v>-8.1482943594018125E-3</v>
      </c>
    </row>
    <row r="619" spans="1:5">
      <c r="A619" s="30">
        <v>42535</v>
      </c>
      <c r="B619" s="28">
        <v>22.409282999999999</v>
      </c>
      <c r="C619" s="28">
        <f t="shared" si="18"/>
        <v>1.2325255652285221E-3</v>
      </c>
      <c r="D619" s="31">
        <v>2075.3200000000002</v>
      </c>
      <c r="E619" s="28">
        <f t="shared" si="18"/>
        <v>-1.80050982836035E-3</v>
      </c>
    </row>
    <row r="620" spans="1:5">
      <c r="A620" s="30">
        <v>42536</v>
      </c>
      <c r="B620" s="28">
        <v>22.335691000000001</v>
      </c>
      <c r="C620" s="28">
        <f t="shared" si="18"/>
        <v>-3.2894003405337709E-3</v>
      </c>
      <c r="D620" s="31">
        <v>2071.5</v>
      </c>
      <c r="E620" s="28">
        <f t="shared" si="18"/>
        <v>-1.8423761246134855E-3</v>
      </c>
    </row>
    <row r="621" spans="1:5">
      <c r="A621" s="30">
        <v>42537</v>
      </c>
      <c r="B621" s="28">
        <v>22.429976</v>
      </c>
      <c r="C621" s="28">
        <f t="shared" si="18"/>
        <v>4.2123862207881614E-3</v>
      </c>
      <c r="D621" s="31">
        <v>2077.9899999999998</v>
      </c>
      <c r="E621" s="28">
        <f t="shared" si="18"/>
        <v>3.1280978105988734E-3</v>
      </c>
    </row>
    <row r="622" spans="1:5">
      <c r="A622" s="30">
        <v>42538</v>
      </c>
      <c r="B622" s="28">
        <v>21.919521</v>
      </c>
      <c r="C622" s="28">
        <f t="shared" si="18"/>
        <v>-2.3020668884731695E-2</v>
      </c>
      <c r="D622" s="31">
        <v>2071.2199999999998</v>
      </c>
      <c r="E622" s="28">
        <f t="shared" si="18"/>
        <v>-3.2632746994190635E-3</v>
      </c>
    </row>
    <row r="623" spans="1:5">
      <c r="A623" s="30">
        <v>42541</v>
      </c>
      <c r="B623" s="28">
        <v>21.866636</v>
      </c>
      <c r="C623" s="28">
        <f t="shared" si="18"/>
        <v>-2.415604809345326E-3</v>
      </c>
      <c r="D623" s="31">
        <v>2083.25</v>
      </c>
      <c r="E623" s="28">
        <f t="shared" si="18"/>
        <v>5.7913686336797431E-3</v>
      </c>
    </row>
    <row r="624" spans="1:5">
      <c r="A624" s="30">
        <v>42542</v>
      </c>
      <c r="B624" s="28">
        <v>22.052883000000001</v>
      </c>
      <c r="C624" s="28">
        <f t="shared" si="18"/>
        <v>8.4813368034350588E-3</v>
      </c>
      <c r="D624" s="31">
        <v>2088.9</v>
      </c>
      <c r="E624" s="28">
        <f t="shared" si="18"/>
        <v>2.7084373542945453E-3</v>
      </c>
    </row>
    <row r="625" spans="1:5">
      <c r="A625" s="30">
        <v>42543</v>
      </c>
      <c r="B625" s="28">
        <v>21.970109999999998</v>
      </c>
      <c r="C625" s="28">
        <f t="shared" si="18"/>
        <v>-3.7604484338842007E-3</v>
      </c>
      <c r="D625" s="31">
        <v>2085.4499999999998</v>
      </c>
      <c r="E625" s="28">
        <f t="shared" si="18"/>
        <v>-1.6529523329488472E-3</v>
      </c>
    </row>
    <row r="626" spans="1:5">
      <c r="A626" s="30">
        <v>42544</v>
      </c>
      <c r="B626" s="28">
        <v>22.096568999999999</v>
      </c>
      <c r="C626" s="28">
        <f t="shared" si="18"/>
        <v>5.7394543910990071E-3</v>
      </c>
      <c r="D626" s="31">
        <v>2113.3200000000002</v>
      </c>
      <c r="E626" s="28">
        <f t="shared" si="18"/>
        <v>1.3275511311332405E-2</v>
      </c>
    </row>
    <row r="627" spans="1:5">
      <c r="A627" s="30">
        <v>42545</v>
      </c>
      <c r="B627" s="28">
        <v>21.475753999999998</v>
      </c>
      <c r="C627" s="28">
        <f t="shared" si="18"/>
        <v>-2.8497769754905578E-2</v>
      </c>
      <c r="D627" s="31">
        <v>2037.41</v>
      </c>
      <c r="E627" s="28">
        <f t="shared" si="18"/>
        <v>-3.6580777234719343E-2</v>
      </c>
    </row>
    <row r="628" spans="1:5">
      <c r="A628" s="30">
        <v>42548</v>
      </c>
      <c r="B628" s="28">
        <v>21.163043999999999</v>
      </c>
      <c r="C628" s="28">
        <f t="shared" si="18"/>
        <v>-1.4668124871198264E-2</v>
      </c>
      <c r="D628" s="31">
        <v>2000.54</v>
      </c>
      <c r="E628" s="28">
        <f t="shared" si="18"/>
        <v>-1.826224926163297E-2</v>
      </c>
    </row>
    <row r="629" spans="1:5">
      <c r="A629" s="30">
        <v>42549</v>
      </c>
      <c r="B629" s="28">
        <v>21.519438000000001</v>
      </c>
      <c r="C629" s="28">
        <f t="shared" si="18"/>
        <v>1.6700166734467354E-2</v>
      </c>
      <c r="D629" s="31">
        <v>2036.09</v>
      </c>
      <c r="E629" s="28">
        <f t="shared" si="18"/>
        <v>1.76141579169895E-2</v>
      </c>
    </row>
    <row r="630" spans="1:5">
      <c r="A630" s="30">
        <v>42550</v>
      </c>
      <c r="B630" s="28">
        <v>21.705684999999999</v>
      </c>
      <c r="C630" s="28">
        <f t="shared" si="18"/>
        <v>8.6175880911167693E-3</v>
      </c>
      <c r="D630" s="31">
        <v>2070.77</v>
      </c>
      <c r="E630" s="28">
        <f t="shared" si="18"/>
        <v>1.6889216752452151E-2</v>
      </c>
    </row>
    <row r="631" spans="1:5">
      <c r="A631" s="30">
        <v>42551</v>
      </c>
      <c r="B631" s="28">
        <v>21.981601999999999</v>
      </c>
      <c r="C631" s="28">
        <f t="shared" si="18"/>
        <v>1.263162295787797E-2</v>
      </c>
      <c r="D631" s="31">
        <v>2098.86</v>
      </c>
      <c r="E631" s="28">
        <f t="shared" si="18"/>
        <v>1.3473821400287618E-2</v>
      </c>
    </row>
    <row r="632" spans="1:5">
      <c r="A632" s="30">
        <v>42552</v>
      </c>
      <c r="B632" s="28">
        <v>22.048280999999999</v>
      </c>
      <c r="C632" s="28">
        <f t="shared" si="18"/>
        <v>3.0288089102725423E-3</v>
      </c>
      <c r="D632" s="31">
        <v>2102.9499999999998</v>
      </c>
      <c r="E632" s="28">
        <f t="shared" si="18"/>
        <v>1.9467806929598444E-3</v>
      </c>
    </row>
    <row r="633" spans="1:5">
      <c r="A633" s="30">
        <v>42556</v>
      </c>
      <c r="B633" s="28">
        <v>21.841341</v>
      </c>
      <c r="C633" s="28">
        <f t="shared" si="18"/>
        <v>-9.4300895795712859E-3</v>
      </c>
      <c r="D633" s="31">
        <v>2088.5500000000002</v>
      </c>
      <c r="E633" s="28">
        <f t="shared" si="18"/>
        <v>-6.8710755834286629E-3</v>
      </c>
    </row>
    <row r="634" spans="1:5">
      <c r="A634" s="30">
        <v>42557</v>
      </c>
      <c r="B634" s="28">
        <v>21.965508</v>
      </c>
      <c r="C634" s="28">
        <f t="shared" si="18"/>
        <v>5.6688547728306294E-3</v>
      </c>
      <c r="D634" s="31">
        <v>2099.73</v>
      </c>
      <c r="E634" s="28">
        <f t="shared" si="18"/>
        <v>5.3387197390260708E-3</v>
      </c>
    </row>
    <row r="635" spans="1:5">
      <c r="A635" s="30">
        <v>42558</v>
      </c>
      <c r="B635" s="28">
        <v>22.059785999999999</v>
      </c>
      <c r="C635" s="28">
        <f t="shared" si="18"/>
        <v>4.2829080988809011E-3</v>
      </c>
      <c r="D635" s="31">
        <v>2097.9</v>
      </c>
      <c r="E635" s="28">
        <f t="shared" si="18"/>
        <v>-8.7192063899741768E-4</v>
      </c>
    </row>
    <row r="636" spans="1:5">
      <c r="A636" s="30">
        <v>42559</v>
      </c>
      <c r="B636" s="28">
        <v>22.229928999999998</v>
      </c>
      <c r="C636" s="28">
        <f t="shared" si="18"/>
        <v>7.6832211265168366E-3</v>
      </c>
      <c r="D636" s="31">
        <v>2129.9</v>
      </c>
      <c r="E636" s="28">
        <f t="shared" si="18"/>
        <v>1.5138185866623861E-2</v>
      </c>
    </row>
    <row r="637" spans="1:5">
      <c r="A637" s="30">
        <v>42562</v>
      </c>
      <c r="B637" s="28">
        <v>22.298909999999999</v>
      </c>
      <c r="C637" s="28">
        <f t="shared" si="18"/>
        <v>3.0982642588293008E-3</v>
      </c>
      <c r="D637" s="31">
        <v>2137.16</v>
      </c>
      <c r="E637" s="28">
        <f t="shared" si="18"/>
        <v>3.4028145868032489E-3</v>
      </c>
    </row>
    <row r="638" spans="1:5">
      <c r="A638" s="30">
        <v>42563</v>
      </c>
      <c r="B638" s="28">
        <v>22.400079999999999</v>
      </c>
      <c r="C638" s="28">
        <f t="shared" si="18"/>
        <v>4.5267319354952091E-3</v>
      </c>
      <c r="D638" s="31">
        <v>2152.14</v>
      </c>
      <c r="E638" s="28">
        <f t="shared" si="18"/>
        <v>6.9848510963644384E-3</v>
      </c>
    </row>
    <row r="639" spans="1:5">
      <c r="A639" s="30">
        <v>42564</v>
      </c>
      <c r="B639" s="28">
        <v>22.273619</v>
      </c>
      <c r="C639" s="28">
        <f t="shared" si="18"/>
        <v>-5.6615566035863934E-3</v>
      </c>
      <c r="D639" s="31">
        <v>2152.4299999999998</v>
      </c>
      <c r="E639" s="28">
        <f t="shared" si="18"/>
        <v>1.3474052016275426E-4</v>
      </c>
    </row>
    <row r="640" spans="1:5">
      <c r="A640" s="30">
        <v>42565</v>
      </c>
      <c r="B640" s="28">
        <v>22.715091999999999</v>
      </c>
      <c r="C640" s="28">
        <f t="shared" si="18"/>
        <v>1.9626575710664056E-2</v>
      </c>
      <c r="D640" s="31">
        <v>2163.75</v>
      </c>
      <c r="E640" s="28">
        <f t="shared" si="18"/>
        <v>5.2453910425336123E-3</v>
      </c>
    </row>
    <row r="641" spans="1:5">
      <c r="A641" s="30">
        <v>42566</v>
      </c>
      <c r="B641" s="28">
        <v>22.712788</v>
      </c>
      <c r="C641" s="28">
        <f t="shared" si="18"/>
        <v>-1.0143550621222732E-4</v>
      </c>
      <c r="D641" s="31">
        <v>2161.7399999999998</v>
      </c>
      <c r="E641" s="28">
        <f t="shared" si="18"/>
        <v>-9.2937454238768344E-4</v>
      </c>
    </row>
    <row r="642" spans="1:5">
      <c r="A642" s="30">
        <v>42569</v>
      </c>
      <c r="B642" s="28">
        <v>22.954214</v>
      </c>
      <c r="C642" s="28">
        <f t="shared" si="18"/>
        <v>1.057342232477808E-2</v>
      </c>
      <c r="D642" s="31">
        <v>2166.89</v>
      </c>
      <c r="E642" s="28">
        <f t="shared" si="18"/>
        <v>2.3795068786033225E-3</v>
      </c>
    </row>
    <row r="643" spans="1:5">
      <c r="A643" s="30">
        <v>42570</v>
      </c>
      <c r="B643" s="28">
        <v>22.963417</v>
      </c>
      <c r="C643" s="28">
        <f t="shared" si="18"/>
        <v>4.0084821114680342E-4</v>
      </c>
      <c r="D643" s="31">
        <v>2163.7800000000002</v>
      </c>
      <c r="E643" s="28">
        <f t="shared" si="18"/>
        <v>-1.4362676143070065E-3</v>
      </c>
    </row>
    <row r="644" spans="1:5">
      <c r="A644" s="30">
        <v>42571</v>
      </c>
      <c r="B644" s="28">
        <v>22.984112</v>
      </c>
      <c r="C644" s="28">
        <f t="shared" si="18"/>
        <v>9.0081020023635814E-4</v>
      </c>
      <c r="D644" s="31">
        <v>2173.02</v>
      </c>
      <c r="E644" s="28">
        <f t="shared" si="18"/>
        <v>4.2612128673701335E-3</v>
      </c>
    </row>
    <row r="645" spans="1:5">
      <c r="A645" s="30">
        <v>42572</v>
      </c>
      <c r="B645" s="28">
        <v>22.862245999999999</v>
      </c>
      <c r="C645" s="28">
        <f t="shared" ref="C645:E708" si="19">LN(B645/B644)</f>
        <v>-5.3162908610642134E-3</v>
      </c>
      <c r="D645" s="31">
        <v>2165.17</v>
      </c>
      <c r="E645" s="28">
        <f t="shared" si="19"/>
        <v>-3.6190247858399653E-3</v>
      </c>
    </row>
    <row r="646" spans="1:5">
      <c r="A646" s="30">
        <v>42573</v>
      </c>
      <c r="B646" s="28">
        <v>22.685199999999998</v>
      </c>
      <c r="C646" s="28">
        <f t="shared" si="19"/>
        <v>-7.7741742835864972E-3</v>
      </c>
      <c r="D646" s="31">
        <v>2175.0300000000002</v>
      </c>
      <c r="E646" s="28">
        <f t="shared" si="19"/>
        <v>4.5435772372509073E-3</v>
      </c>
    </row>
    <row r="647" spans="1:5">
      <c r="A647" s="30">
        <v>42576</v>
      </c>
      <c r="B647" s="28">
        <v>22.381679999999999</v>
      </c>
      <c r="C647" s="28">
        <f t="shared" si="19"/>
        <v>-1.3469962385044358E-2</v>
      </c>
      <c r="D647" s="31">
        <v>2168.48</v>
      </c>
      <c r="E647" s="28">
        <f t="shared" si="19"/>
        <v>-3.0159962634030003E-3</v>
      </c>
    </row>
    <row r="648" spans="1:5">
      <c r="A648" s="30">
        <v>42577</v>
      </c>
      <c r="B648" s="28">
        <v>22.227633999999998</v>
      </c>
      <c r="C648" s="28">
        <f t="shared" si="19"/>
        <v>-6.9064775273195607E-3</v>
      </c>
      <c r="D648" s="31">
        <v>2169.1799999999998</v>
      </c>
      <c r="E648" s="28">
        <f t="shared" si="19"/>
        <v>3.2275466775932843E-4</v>
      </c>
    </row>
    <row r="649" spans="1:5">
      <c r="A649" s="30">
        <v>42578</v>
      </c>
      <c r="B649" s="28">
        <v>23.671612</v>
      </c>
      <c r="C649" s="28">
        <f t="shared" si="19"/>
        <v>6.2940234727855204E-2</v>
      </c>
      <c r="D649" s="31">
        <v>2166.58</v>
      </c>
      <c r="E649" s="28">
        <f t="shared" si="19"/>
        <v>-1.1993285198676762E-3</v>
      </c>
    </row>
    <row r="650" spans="1:5">
      <c r="A650" s="30">
        <v>42579</v>
      </c>
      <c r="B650" s="28">
        <v>23.991219000000001</v>
      </c>
      <c r="C650" s="28">
        <f t="shared" si="19"/>
        <v>1.3411364108301904E-2</v>
      </c>
      <c r="D650" s="31">
        <v>2170.06</v>
      </c>
      <c r="E650" s="28">
        <f t="shared" si="19"/>
        <v>1.6049295062452703E-3</v>
      </c>
    </row>
    <row r="651" spans="1:5">
      <c r="A651" s="30">
        <v>42580</v>
      </c>
      <c r="B651" s="28">
        <v>23.961327000000001</v>
      </c>
      <c r="C651" s="28">
        <f t="shared" si="19"/>
        <v>-1.2467327124556741E-3</v>
      </c>
      <c r="D651" s="31">
        <v>2173.6</v>
      </c>
      <c r="E651" s="28">
        <f t="shared" si="19"/>
        <v>1.6299621902952422E-3</v>
      </c>
    </row>
    <row r="652" spans="1:5">
      <c r="A652" s="30">
        <v>42583</v>
      </c>
      <c r="B652" s="28">
        <v>24.384405000000001</v>
      </c>
      <c r="C652" s="28">
        <f t="shared" si="19"/>
        <v>1.7502632931370294E-2</v>
      </c>
      <c r="D652" s="31">
        <v>2170.84</v>
      </c>
      <c r="E652" s="28">
        <f t="shared" si="19"/>
        <v>-1.2705897060663312E-3</v>
      </c>
    </row>
    <row r="653" spans="1:5">
      <c r="A653" s="30">
        <v>42584</v>
      </c>
      <c r="B653" s="28">
        <v>24.023409000000001</v>
      </c>
      <c r="C653" s="28">
        <f t="shared" si="19"/>
        <v>-1.4915058639438218E-2</v>
      </c>
      <c r="D653" s="31">
        <v>2157.0300000000002</v>
      </c>
      <c r="E653" s="28">
        <f t="shared" si="19"/>
        <v>-6.3819139077918741E-3</v>
      </c>
    </row>
    <row r="654" spans="1:5">
      <c r="A654" s="30">
        <v>42585</v>
      </c>
      <c r="B654" s="28">
        <v>24.324621</v>
      </c>
      <c r="C654" s="28">
        <f t="shared" si="19"/>
        <v>1.2460317293540156E-2</v>
      </c>
      <c r="D654" s="31">
        <v>2163.79</v>
      </c>
      <c r="E654" s="28">
        <f t="shared" si="19"/>
        <v>3.1290382452996857E-3</v>
      </c>
    </row>
    <row r="655" spans="1:5">
      <c r="A655" s="30">
        <v>42586</v>
      </c>
      <c r="B655" s="28">
        <v>24.474888</v>
      </c>
      <c r="C655" s="28">
        <f t="shared" si="19"/>
        <v>6.1585650356701721E-3</v>
      </c>
      <c r="D655" s="31">
        <v>2164.25</v>
      </c>
      <c r="E655" s="28">
        <f t="shared" si="19"/>
        <v>2.1256735230357668E-4</v>
      </c>
    </row>
    <row r="656" spans="1:5">
      <c r="A656" s="30">
        <v>42587</v>
      </c>
      <c r="B656" s="28">
        <v>24.847086000000001</v>
      </c>
      <c r="C656" s="28">
        <f t="shared" si="19"/>
        <v>1.5092869777193121E-2</v>
      </c>
      <c r="D656" s="31">
        <v>2182.87</v>
      </c>
      <c r="E656" s="28">
        <f t="shared" si="19"/>
        <v>8.5666436043246308E-3</v>
      </c>
    </row>
    <row r="657" spans="1:5">
      <c r="A657" s="30">
        <v>42590</v>
      </c>
      <c r="B657" s="28">
        <v>25.052834000000001</v>
      </c>
      <c r="C657" s="28">
        <f t="shared" si="19"/>
        <v>8.2464727790331187E-3</v>
      </c>
      <c r="D657" s="31">
        <v>2180.89</v>
      </c>
      <c r="E657" s="28">
        <f t="shared" si="19"/>
        <v>-9.0747435050471642E-4</v>
      </c>
    </row>
    <row r="658" spans="1:5">
      <c r="A658" s="30">
        <v>42591</v>
      </c>
      <c r="B658" s="28">
        <v>25.154554000000001</v>
      </c>
      <c r="C658" s="28">
        <f t="shared" si="19"/>
        <v>4.0519988482875698E-3</v>
      </c>
      <c r="D658" s="31">
        <v>2181.7399999999998</v>
      </c>
      <c r="E658" s="28">
        <f t="shared" si="19"/>
        <v>3.8967320664632022E-4</v>
      </c>
    </row>
    <row r="659" spans="1:5">
      <c r="A659" s="30">
        <v>42592</v>
      </c>
      <c r="B659" s="28">
        <v>24.967296999999999</v>
      </c>
      <c r="C659" s="28">
        <f t="shared" si="19"/>
        <v>-7.4721051801996076E-3</v>
      </c>
      <c r="D659" s="31">
        <v>2175.4899999999998</v>
      </c>
      <c r="E659" s="28">
        <f t="shared" si="19"/>
        <v>-2.8687970506289257E-3</v>
      </c>
    </row>
    <row r="660" spans="1:5">
      <c r="A660" s="30">
        <v>42593</v>
      </c>
      <c r="B660" s="28">
        <v>24.95112</v>
      </c>
      <c r="C660" s="28">
        <f t="shared" si="19"/>
        <v>-6.4813756278791297E-4</v>
      </c>
      <c r="D660" s="31">
        <v>2185.79</v>
      </c>
      <c r="E660" s="28">
        <f t="shared" si="19"/>
        <v>4.7233927423996338E-3</v>
      </c>
    </row>
    <row r="661" spans="1:5">
      <c r="A661" s="30">
        <v>42594</v>
      </c>
      <c r="B661" s="28">
        <v>25.008911000000001</v>
      </c>
      <c r="C661" s="28">
        <f t="shared" si="19"/>
        <v>2.3134903889842602E-3</v>
      </c>
      <c r="D661" s="31">
        <v>2184.0500000000002</v>
      </c>
      <c r="E661" s="28">
        <f t="shared" si="19"/>
        <v>-7.9636787248911652E-4</v>
      </c>
    </row>
    <row r="662" spans="1:5">
      <c r="A662" s="30">
        <v>42597</v>
      </c>
      <c r="B662" s="28">
        <v>25.309441</v>
      </c>
      <c r="C662" s="28">
        <f t="shared" si="19"/>
        <v>1.194528682261168E-2</v>
      </c>
      <c r="D662" s="31">
        <v>2190.15</v>
      </c>
      <c r="E662" s="28">
        <f t="shared" si="19"/>
        <v>2.7890832400516256E-3</v>
      </c>
    </row>
    <row r="663" spans="1:5">
      <c r="A663" s="30">
        <v>42598</v>
      </c>
      <c r="B663" s="28">
        <v>25.286325000000001</v>
      </c>
      <c r="C663" s="28">
        <f t="shared" si="19"/>
        <v>-9.1375241194598198E-4</v>
      </c>
      <c r="D663" s="31">
        <v>2178.15</v>
      </c>
      <c r="E663" s="28">
        <f t="shared" si="19"/>
        <v>-5.4941419708265955E-3</v>
      </c>
    </row>
    <row r="664" spans="1:5">
      <c r="A664" s="30">
        <v>42599</v>
      </c>
      <c r="B664" s="28">
        <v>25.249338000000002</v>
      </c>
      <c r="C664" s="28">
        <f t="shared" si="19"/>
        <v>-1.4637982133272535E-3</v>
      </c>
      <c r="D664" s="31">
        <v>2182.2199999999998</v>
      </c>
      <c r="E664" s="28">
        <f t="shared" si="19"/>
        <v>1.8668145969237696E-3</v>
      </c>
    </row>
    <row r="665" spans="1:5">
      <c r="A665" s="30">
        <v>42600</v>
      </c>
      <c r="B665" s="28">
        <v>25.216968999999999</v>
      </c>
      <c r="C665" s="28">
        <f t="shared" si="19"/>
        <v>-1.2827966365275161E-3</v>
      </c>
      <c r="D665" s="31">
        <v>2187.02</v>
      </c>
      <c r="E665" s="28">
        <f t="shared" si="19"/>
        <v>2.1971793405895896E-3</v>
      </c>
    </row>
    <row r="666" spans="1:5">
      <c r="A666" s="30">
        <v>42601</v>
      </c>
      <c r="B666" s="28">
        <v>25.281701999999999</v>
      </c>
      <c r="C666" s="28">
        <f t="shared" si="19"/>
        <v>2.5637520423676743E-3</v>
      </c>
      <c r="D666" s="31">
        <v>2183.87</v>
      </c>
      <c r="E666" s="28">
        <f t="shared" si="19"/>
        <v>-1.4413542987100584E-3</v>
      </c>
    </row>
    <row r="667" spans="1:5">
      <c r="A667" s="30">
        <v>42604</v>
      </c>
      <c r="B667" s="28">
        <v>25.085198999999999</v>
      </c>
      <c r="C667" s="28">
        <f t="shared" si="19"/>
        <v>-7.8029020292779841E-3</v>
      </c>
      <c r="D667" s="31">
        <v>2182.64</v>
      </c>
      <c r="E667" s="28">
        <f t="shared" si="19"/>
        <v>-5.6337900636122971E-4</v>
      </c>
    </row>
    <row r="668" spans="1:5">
      <c r="A668" s="30">
        <v>42605</v>
      </c>
      <c r="B668" s="28">
        <v>25.163800999999999</v>
      </c>
      <c r="C668" s="28">
        <f t="shared" si="19"/>
        <v>3.1285026213430465E-3</v>
      </c>
      <c r="D668" s="31">
        <v>2186.9</v>
      </c>
      <c r="E668" s="28">
        <f t="shared" si="19"/>
        <v>1.9498626169790064E-3</v>
      </c>
    </row>
    <row r="669" spans="1:5">
      <c r="A669" s="30">
        <v>42606</v>
      </c>
      <c r="B669" s="28">
        <v>24.974236000000001</v>
      </c>
      <c r="C669" s="28">
        <f t="shared" si="19"/>
        <v>-7.5617600776738281E-3</v>
      </c>
      <c r="D669" s="31">
        <v>2175.44</v>
      </c>
      <c r="E669" s="28">
        <f t="shared" si="19"/>
        <v>-5.254072980571481E-3</v>
      </c>
    </row>
    <row r="670" spans="1:5">
      <c r="A670" s="30">
        <v>42607</v>
      </c>
      <c r="B670" s="28">
        <v>24.867889000000002</v>
      </c>
      <c r="C670" s="28">
        <f t="shared" si="19"/>
        <v>-4.2673606466327755E-3</v>
      </c>
      <c r="D670" s="31">
        <v>2172.4699999999998</v>
      </c>
      <c r="E670" s="28">
        <f t="shared" si="19"/>
        <v>-1.3661738453380294E-3</v>
      </c>
    </row>
    <row r="671" spans="1:5">
      <c r="A671" s="30">
        <v>42608</v>
      </c>
      <c r="B671" s="28">
        <v>24.722252000000001</v>
      </c>
      <c r="C671" s="28">
        <f t="shared" si="19"/>
        <v>-5.8736440657600631E-3</v>
      </c>
      <c r="D671" s="31">
        <v>2169.04</v>
      </c>
      <c r="E671" s="28">
        <f t="shared" si="19"/>
        <v>-1.5800957333464785E-3</v>
      </c>
    </row>
    <row r="672" spans="1:5">
      <c r="A672" s="30">
        <v>42611</v>
      </c>
      <c r="B672" s="28">
        <v>24.694506000000001</v>
      </c>
      <c r="C672" s="28">
        <f t="shared" si="19"/>
        <v>-1.1229390206303814E-3</v>
      </c>
      <c r="D672" s="31">
        <v>2180.38</v>
      </c>
      <c r="E672" s="28">
        <f t="shared" si="19"/>
        <v>5.2145001841601589E-3</v>
      </c>
    </row>
    <row r="673" spans="1:5">
      <c r="A673" s="30">
        <v>42612</v>
      </c>
      <c r="B673" s="28">
        <v>24.504940000000001</v>
      </c>
      <c r="C673" s="28">
        <f t="shared" si="19"/>
        <v>-7.7060598644905125E-3</v>
      </c>
      <c r="D673" s="31">
        <v>2176.12</v>
      </c>
      <c r="E673" s="28">
        <f t="shared" si="19"/>
        <v>-1.9556990050680497E-3</v>
      </c>
    </row>
    <row r="674" spans="1:5">
      <c r="A674" s="30">
        <v>42613</v>
      </c>
      <c r="B674" s="28">
        <v>24.528057</v>
      </c>
      <c r="C674" s="28">
        <f t="shared" si="19"/>
        <v>9.4291612290219495E-4</v>
      </c>
      <c r="D674" s="31">
        <v>2170.9499999999998</v>
      </c>
      <c r="E674" s="28">
        <f t="shared" si="19"/>
        <v>-2.3786147623904054E-3</v>
      </c>
    </row>
    <row r="675" spans="1:5">
      <c r="A675" s="30">
        <v>42614</v>
      </c>
      <c r="B675" s="28">
        <v>24.673701999999999</v>
      </c>
      <c r="C675" s="28">
        <f t="shared" si="19"/>
        <v>5.9203340843499057E-3</v>
      </c>
      <c r="D675" s="31">
        <v>2170.86</v>
      </c>
      <c r="E675" s="28">
        <f t="shared" si="19"/>
        <v>-4.1457364561137788E-5</v>
      </c>
    </row>
    <row r="676" spans="1:5">
      <c r="A676" s="30">
        <v>42615</v>
      </c>
      <c r="B676" s="28">
        <v>24.904882000000001</v>
      </c>
      <c r="C676" s="28">
        <f t="shared" si="19"/>
        <v>9.3258684237419627E-3</v>
      </c>
      <c r="D676" s="31">
        <v>2179.98</v>
      </c>
      <c r="E676" s="28">
        <f t="shared" si="19"/>
        <v>4.1923000419618493E-3</v>
      </c>
    </row>
    <row r="677" spans="1:5">
      <c r="A677" s="30">
        <v>42619</v>
      </c>
      <c r="B677" s="28">
        <v>24.897946999999998</v>
      </c>
      <c r="C677" s="28">
        <f t="shared" si="19"/>
        <v>-2.7849823731205539E-4</v>
      </c>
      <c r="D677" s="31">
        <v>2186.48</v>
      </c>
      <c r="E677" s="28">
        <f t="shared" si="19"/>
        <v>2.9772423433708003E-3</v>
      </c>
    </row>
    <row r="678" spans="1:5">
      <c r="A678" s="30">
        <v>42620</v>
      </c>
      <c r="B678" s="28">
        <v>25.050526000000001</v>
      </c>
      <c r="C678" s="28">
        <f t="shared" si="19"/>
        <v>6.1094750421172633E-3</v>
      </c>
      <c r="D678" s="31">
        <v>2186.16</v>
      </c>
      <c r="E678" s="28">
        <f t="shared" si="19"/>
        <v>-1.4636466783063686E-4</v>
      </c>
    </row>
    <row r="679" spans="1:5">
      <c r="A679" s="30">
        <v>42621</v>
      </c>
      <c r="B679" s="28">
        <v>24.393974</v>
      </c>
      <c r="C679" s="28">
        <f t="shared" si="19"/>
        <v>-2.6558690729793642E-2</v>
      </c>
      <c r="D679" s="31">
        <v>2181.3000000000002</v>
      </c>
      <c r="E679" s="28">
        <f t="shared" si="19"/>
        <v>-2.2255507805430696E-3</v>
      </c>
    </row>
    <row r="680" spans="1:5">
      <c r="A680" s="30">
        <v>42622</v>
      </c>
      <c r="B680" s="28">
        <v>23.841459</v>
      </c>
      <c r="C680" s="28">
        <f t="shared" si="19"/>
        <v>-2.2910094595661724E-2</v>
      </c>
      <c r="D680" s="31">
        <v>2127.81</v>
      </c>
      <c r="E680" s="28">
        <f t="shared" si="19"/>
        <v>-2.4827747563078314E-2</v>
      </c>
    </row>
    <row r="681" spans="1:5">
      <c r="A681" s="30">
        <v>42625</v>
      </c>
      <c r="B681" s="28">
        <v>24.375482999999999</v>
      </c>
      <c r="C681" s="28">
        <f t="shared" si="19"/>
        <v>2.2151792083248537E-2</v>
      </c>
      <c r="D681" s="31">
        <v>2159.04</v>
      </c>
      <c r="E681" s="28">
        <f t="shared" si="19"/>
        <v>1.4570396678017971E-2</v>
      </c>
    </row>
    <row r="682" spans="1:5">
      <c r="A682" s="30">
        <v>42626</v>
      </c>
      <c r="B682" s="28">
        <v>24.955736000000002</v>
      </c>
      <c r="C682" s="28">
        <f t="shared" si="19"/>
        <v>2.3525863502013505E-2</v>
      </c>
      <c r="D682" s="31">
        <v>2127.02</v>
      </c>
      <c r="E682" s="28">
        <f t="shared" si="19"/>
        <v>-1.4941739368126835E-2</v>
      </c>
    </row>
    <row r="683" spans="1:5">
      <c r="A683" s="30">
        <v>42627</v>
      </c>
      <c r="B683" s="28">
        <v>25.838839</v>
      </c>
      <c r="C683" s="28">
        <f t="shared" si="19"/>
        <v>3.4775051990228081E-2</v>
      </c>
      <c r="D683" s="31">
        <v>2125.77</v>
      </c>
      <c r="E683" s="28">
        <f t="shared" si="19"/>
        <v>-5.8784940521235899E-4</v>
      </c>
    </row>
    <row r="684" spans="1:5">
      <c r="A684" s="30">
        <v>42628</v>
      </c>
      <c r="B684" s="28">
        <v>26.717317999999999</v>
      </c>
      <c r="C684" s="28">
        <f t="shared" si="19"/>
        <v>3.3433221814669796E-2</v>
      </c>
      <c r="D684" s="31">
        <v>2147.2600000000002</v>
      </c>
      <c r="E684" s="28">
        <f t="shared" si="19"/>
        <v>1.0058521089340135E-2</v>
      </c>
    </row>
    <row r="685" spans="1:5">
      <c r="A685" s="30">
        <v>42629</v>
      </c>
      <c r="B685" s="28">
        <v>26.567049000000001</v>
      </c>
      <c r="C685" s="28">
        <f t="shared" si="19"/>
        <v>-5.6402808866070873E-3</v>
      </c>
      <c r="D685" s="31">
        <v>2139.16</v>
      </c>
      <c r="E685" s="28">
        <f t="shared" si="19"/>
        <v>-3.7793821611113664E-3</v>
      </c>
    </row>
    <row r="686" spans="1:5">
      <c r="A686" s="30">
        <v>42632</v>
      </c>
      <c r="B686" s="28">
        <v>26.257273000000001</v>
      </c>
      <c r="C686" s="28">
        <f t="shared" si="19"/>
        <v>-1.1728671164089618E-2</v>
      </c>
      <c r="D686" s="31">
        <v>2139.12</v>
      </c>
      <c r="E686" s="28">
        <f t="shared" si="19"/>
        <v>-1.869910337847447E-5</v>
      </c>
    </row>
    <row r="687" spans="1:5">
      <c r="A687" s="30">
        <v>42633</v>
      </c>
      <c r="B687" s="28">
        <v>26.254961000000002</v>
      </c>
      <c r="C687" s="28">
        <f t="shared" si="19"/>
        <v>-8.8055671045890644E-5</v>
      </c>
      <c r="D687" s="31">
        <v>2139.7600000000002</v>
      </c>
      <c r="E687" s="28">
        <f t="shared" si="19"/>
        <v>2.991437033863788E-4</v>
      </c>
    </row>
    <row r="688" spans="1:5">
      <c r="A688" s="30">
        <v>42634</v>
      </c>
      <c r="B688" s="28">
        <v>26.250340000000001</v>
      </c>
      <c r="C688" s="28">
        <f t="shared" si="19"/>
        <v>-1.7602032266917866E-4</v>
      </c>
      <c r="D688" s="31">
        <v>2163.12</v>
      </c>
      <c r="E688" s="28">
        <f t="shared" si="19"/>
        <v>1.0857950722306076E-2</v>
      </c>
    </row>
    <row r="689" spans="1:5">
      <c r="A689" s="30">
        <v>42635</v>
      </c>
      <c r="B689" s="28">
        <v>26.497703999999999</v>
      </c>
      <c r="C689" s="28">
        <f t="shared" si="19"/>
        <v>9.3791463944463693E-3</v>
      </c>
      <c r="D689" s="31">
        <v>2177.1799999999998</v>
      </c>
      <c r="E689" s="28">
        <f t="shared" si="19"/>
        <v>6.4788374909876233E-3</v>
      </c>
    </row>
    <row r="690" spans="1:5">
      <c r="A690" s="30">
        <v>42636</v>
      </c>
      <c r="B690" s="28">
        <v>26.056149000000001</v>
      </c>
      <c r="C690" s="28">
        <f t="shared" si="19"/>
        <v>-1.6804301319004296E-2</v>
      </c>
      <c r="D690" s="31">
        <v>2164.69</v>
      </c>
      <c r="E690" s="28">
        <f t="shared" si="19"/>
        <v>-5.7532972898826128E-3</v>
      </c>
    </row>
    <row r="691" spans="1:5">
      <c r="A691" s="30">
        <v>42639</v>
      </c>
      <c r="B691" s="28">
        <v>26.095451000000001</v>
      </c>
      <c r="C691" s="28">
        <f t="shared" si="19"/>
        <v>1.5072215402882527E-3</v>
      </c>
      <c r="D691" s="31">
        <v>2146.1</v>
      </c>
      <c r="E691" s="28">
        <f t="shared" si="19"/>
        <v>-8.624922689932854E-3</v>
      </c>
    </row>
    <row r="692" spans="1:5">
      <c r="A692" s="30">
        <v>42640</v>
      </c>
      <c r="B692" s="28">
        <v>26.143999000000001</v>
      </c>
      <c r="C692" s="28">
        <f t="shared" si="19"/>
        <v>1.858672477463531E-3</v>
      </c>
      <c r="D692" s="31">
        <v>2159.9299999999998</v>
      </c>
      <c r="E692" s="28">
        <f t="shared" si="19"/>
        <v>6.4235723182359062E-3</v>
      </c>
    </row>
    <row r="693" spans="1:5">
      <c r="A693" s="30">
        <v>42641</v>
      </c>
      <c r="B693" s="28">
        <v>26.342815000000002</v>
      </c>
      <c r="C693" s="28">
        <f t="shared" si="19"/>
        <v>7.5758818549225889E-3</v>
      </c>
      <c r="D693" s="31">
        <v>2171.37</v>
      </c>
      <c r="E693" s="28">
        <f t="shared" si="19"/>
        <v>5.2824909853757054E-3</v>
      </c>
    </row>
    <row r="694" spans="1:5">
      <c r="A694" s="30">
        <v>42642</v>
      </c>
      <c r="B694" s="28">
        <v>25.933622</v>
      </c>
      <c r="C694" s="28">
        <f t="shared" si="19"/>
        <v>-1.565528872313595E-2</v>
      </c>
      <c r="D694" s="31">
        <v>2151.13</v>
      </c>
      <c r="E694" s="28">
        <f t="shared" si="19"/>
        <v>-9.365019283515956E-3</v>
      </c>
    </row>
    <row r="695" spans="1:5">
      <c r="A695" s="30">
        <v>42643</v>
      </c>
      <c r="B695" s="28">
        <v>26.134754000000001</v>
      </c>
      <c r="C695" s="28">
        <f t="shared" si="19"/>
        <v>7.7257258958928106E-3</v>
      </c>
      <c r="D695" s="31">
        <v>2168.27</v>
      </c>
      <c r="E695" s="28">
        <f t="shared" si="19"/>
        <v>7.9363291030870517E-3</v>
      </c>
    </row>
    <row r="696" spans="1:5">
      <c r="A696" s="30">
        <v>42646</v>
      </c>
      <c r="B696" s="28">
        <v>26.012229999999999</v>
      </c>
      <c r="C696" s="28">
        <f t="shared" si="19"/>
        <v>-4.6991874148733306E-3</v>
      </c>
      <c r="D696" s="31">
        <v>2161.1999999999998</v>
      </c>
      <c r="E696" s="28">
        <f t="shared" si="19"/>
        <v>-3.2659915807079186E-3</v>
      </c>
    </row>
    <row r="697" spans="1:5">
      <c r="A697" s="30">
        <v>42647</v>
      </c>
      <c r="B697" s="28">
        <v>26.123192</v>
      </c>
      <c r="C697" s="28">
        <f t="shared" si="19"/>
        <v>4.2566901078165392E-3</v>
      </c>
      <c r="D697" s="31">
        <v>2150.4899999999998</v>
      </c>
      <c r="E697" s="28">
        <f t="shared" si="19"/>
        <v>-4.9678998383077579E-3</v>
      </c>
    </row>
    <row r="698" spans="1:5">
      <c r="A698" s="30">
        <v>42648</v>
      </c>
      <c r="B698" s="28">
        <v>26.134754000000001</v>
      </c>
      <c r="C698" s="28">
        <f t="shared" si="19"/>
        <v>4.424973070567306E-4</v>
      </c>
      <c r="D698" s="31">
        <v>2159.73</v>
      </c>
      <c r="E698" s="28">
        <f t="shared" si="19"/>
        <v>4.2874907334568115E-3</v>
      </c>
    </row>
    <row r="699" spans="1:5">
      <c r="A699" s="30">
        <v>42649</v>
      </c>
      <c r="B699" s="28">
        <v>26.328941</v>
      </c>
      <c r="C699" s="28">
        <f t="shared" si="19"/>
        <v>7.4027529627355322E-3</v>
      </c>
      <c r="D699" s="31">
        <v>2160.77</v>
      </c>
      <c r="E699" s="28">
        <f t="shared" si="19"/>
        <v>4.8142577020570391E-4</v>
      </c>
    </row>
    <row r="700" spans="1:5">
      <c r="A700" s="30">
        <v>42650</v>
      </c>
      <c r="B700" s="28">
        <v>26.36824</v>
      </c>
      <c r="C700" s="28">
        <f t="shared" si="19"/>
        <v>1.4915032090737597E-3</v>
      </c>
      <c r="D700" s="31">
        <v>2153.7399999999998</v>
      </c>
      <c r="E700" s="28">
        <f t="shared" si="19"/>
        <v>-3.2587738683275704E-3</v>
      </c>
    </row>
    <row r="701" spans="1:5">
      <c r="A701" s="30">
        <v>42653</v>
      </c>
      <c r="B701" s="28">
        <v>26.828291</v>
      </c>
      <c r="C701" s="28">
        <f t="shared" si="19"/>
        <v>1.7296709427675409E-2</v>
      </c>
      <c r="D701" s="31">
        <v>2163.66</v>
      </c>
      <c r="E701" s="28">
        <f t="shared" si="19"/>
        <v>4.5953664043352545E-3</v>
      </c>
    </row>
    <row r="702" spans="1:5">
      <c r="A702" s="30">
        <v>42654</v>
      </c>
      <c r="B702" s="28">
        <v>26.886085999999999</v>
      </c>
      <c r="C702" s="28">
        <f t="shared" si="19"/>
        <v>2.1519386626518591E-3</v>
      </c>
      <c r="D702" s="31">
        <v>2136.73</v>
      </c>
      <c r="E702" s="28">
        <f t="shared" si="19"/>
        <v>-1.252460917831065E-2</v>
      </c>
    </row>
    <row r="703" spans="1:5">
      <c r="A703" s="30">
        <v>42655</v>
      </c>
      <c r="B703" s="28">
        <v>27.126505000000002</v>
      </c>
      <c r="C703" s="28">
        <f t="shared" si="19"/>
        <v>8.9023904747047872E-3</v>
      </c>
      <c r="D703" s="31">
        <v>2139.1799999999998</v>
      </c>
      <c r="E703" s="28">
        <f t="shared" si="19"/>
        <v>1.1459550215575632E-3</v>
      </c>
    </row>
    <row r="704" spans="1:5">
      <c r="A704" s="30">
        <v>42656</v>
      </c>
      <c r="B704" s="28">
        <v>27.043289000000001</v>
      </c>
      <c r="C704" s="28">
        <f t="shared" si="19"/>
        <v>-3.0724157991603479E-3</v>
      </c>
      <c r="D704" s="31">
        <v>2132.5500000000002</v>
      </c>
      <c r="E704" s="28">
        <f t="shared" si="19"/>
        <v>-3.1041312647029852E-3</v>
      </c>
    </row>
    <row r="705" spans="1:5">
      <c r="A705" s="30">
        <v>42657</v>
      </c>
      <c r="B705" s="28">
        <v>27.193546000000001</v>
      </c>
      <c r="C705" s="28">
        <f t="shared" si="19"/>
        <v>5.5407873417154521E-3</v>
      </c>
      <c r="D705" s="31">
        <v>2132.98</v>
      </c>
      <c r="E705" s="28">
        <f t="shared" si="19"/>
        <v>2.0161621250175643E-4</v>
      </c>
    </row>
    <row r="706" spans="1:5">
      <c r="A706" s="30">
        <v>42660</v>
      </c>
      <c r="B706" s="28">
        <v>27.175062</v>
      </c>
      <c r="C706" s="28">
        <f t="shared" si="19"/>
        <v>-6.7995122156328945E-4</v>
      </c>
      <c r="D706" s="31">
        <v>2126.5</v>
      </c>
      <c r="E706" s="28">
        <f t="shared" si="19"/>
        <v>-3.0426272686303788E-3</v>
      </c>
    </row>
    <row r="707" spans="1:5">
      <c r="A707" s="30">
        <v>42661</v>
      </c>
      <c r="B707" s="28">
        <v>27.156562999999998</v>
      </c>
      <c r="C707" s="28">
        <f t="shared" si="19"/>
        <v>-6.8096622233764891E-4</v>
      </c>
      <c r="D707" s="31">
        <v>2139.6</v>
      </c>
      <c r="E707" s="28">
        <f t="shared" si="19"/>
        <v>6.1414599634068111E-3</v>
      </c>
    </row>
    <row r="708" spans="1:5">
      <c r="A708" s="30">
        <v>42662</v>
      </c>
      <c r="B708" s="28">
        <v>27.075651000000001</v>
      </c>
      <c r="C708" s="28">
        <f t="shared" si="19"/>
        <v>-2.983911371748632E-3</v>
      </c>
      <c r="D708" s="31">
        <v>2144.29</v>
      </c>
      <c r="E708" s="28">
        <f t="shared" si="19"/>
        <v>2.1895995806570281E-3</v>
      </c>
    </row>
    <row r="709" spans="1:5">
      <c r="A709" s="30">
        <v>42663</v>
      </c>
      <c r="B709" s="28">
        <v>27.061775000000001</v>
      </c>
      <c r="C709" s="28">
        <f t="shared" ref="C709:E772" si="20">LN(B709/B708)</f>
        <v>-5.1262135380658082E-4</v>
      </c>
      <c r="D709" s="31">
        <v>2141.34</v>
      </c>
      <c r="E709" s="28">
        <f t="shared" si="20"/>
        <v>-1.3766939590792353E-3</v>
      </c>
    </row>
    <row r="710" spans="1:5">
      <c r="A710" s="30">
        <v>42664</v>
      </c>
      <c r="B710" s="28">
        <v>26.955437</v>
      </c>
      <c r="C710" s="28">
        <f t="shared" si="20"/>
        <v>-3.9371945877739716E-3</v>
      </c>
      <c r="D710" s="31">
        <v>2141.16</v>
      </c>
      <c r="E710" s="28">
        <f t="shared" si="20"/>
        <v>-8.4063047335106874E-5</v>
      </c>
    </row>
    <row r="711" spans="1:5">
      <c r="A711" s="30">
        <v>42667</v>
      </c>
      <c r="B711" s="28">
        <v>27.198174000000002</v>
      </c>
      <c r="C711" s="28">
        <f t="shared" si="20"/>
        <v>8.9648177177899663E-3</v>
      </c>
      <c r="D711" s="31">
        <v>2151.33</v>
      </c>
      <c r="E711" s="28">
        <f t="shared" si="20"/>
        <v>4.7385172845472385E-3</v>
      </c>
    </row>
    <row r="712" spans="1:5">
      <c r="A712" s="30">
        <v>42668</v>
      </c>
      <c r="B712" s="28">
        <v>27.336876</v>
      </c>
      <c r="C712" s="28">
        <f t="shared" si="20"/>
        <v>5.0867212580889805E-3</v>
      </c>
      <c r="D712" s="31">
        <v>2143.16</v>
      </c>
      <c r="E712" s="28">
        <f t="shared" si="20"/>
        <v>-3.8048801401324552E-3</v>
      </c>
    </row>
    <row r="713" spans="1:5">
      <c r="A713" s="30">
        <v>42669</v>
      </c>
      <c r="B713" s="28">
        <v>26.721945000000002</v>
      </c>
      <c r="C713" s="28">
        <f t="shared" si="20"/>
        <v>-2.2751422018212529E-2</v>
      </c>
      <c r="D713" s="31">
        <v>2139.4299999999998</v>
      </c>
      <c r="E713" s="28">
        <f t="shared" si="20"/>
        <v>-1.7419369788728072E-3</v>
      </c>
    </row>
    <row r="714" spans="1:5">
      <c r="A714" s="30">
        <v>42670</v>
      </c>
      <c r="B714" s="28">
        <v>26.465340000000001</v>
      </c>
      <c r="C714" s="28">
        <f t="shared" si="20"/>
        <v>-9.6491855513609059E-3</v>
      </c>
      <c r="D714" s="31">
        <v>2133.04</v>
      </c>
      <c r="E714" s="28">
        <f t="shared" si="20"/>
        <v>-2.9912461712177669E-3</v>
      </c>
    </row>
    <row r="715" spans="1:5">
      <c r="A715" s="30">
        <v>42671</v>
      </c>
      <c r="B715" s="28">
        <v>26.289648</v>
      </c>
      <c r="C715" s="28">
        <f t="shared" si="20"/>
        <v>-6.6607028532329844E-3</v>
      </c>
      <c r="D715" s="31">
        <v>2126.41</v>
      </c>
      <c r="E715" s="28">
        <f t="shared" si="20"/>
        <v>-3.1130804936909326E-3</v>
      </c>
    </row>
    <row r="716" spans="1:5">
      <c r="A716" s="30">
        <v>42674</v>
      </c>
      <c r="B716" s="28">
        <v>26.248031999999998</v>
      </c>
      <c r="C716" s="28">
        <f t="shared" si="20"/>
        <v>-1.5842347322525868E-3</v>
      </c>
      <c r="D716" s="31">
        <v>2126.15</v>
      </c>
      <c r="E716" s="28">
        <f t="shared" si="20"/>
        <v>-1.2227928604123579E-4</v>
      </c>
    </row>
    <row r="717" spans="1:5">
      <c r="A717" s="30">
        <v>42675</v>
      </c>
      <c r="B717" s="28">
        <v>25.774108999999999</v>
      </c>
      <c r="C717" s="28">
        <f t="shared" si="20"/>
        <v>-1.8220553873253286E-2</v>
      </c>
      <c r="D717" s="31">
        <v>2111.7199999999998</v>
      </c>
      <c r="E717" s="28">
        <f t="shared" si="20"/>
        <v>-6.8100511662960534E-3</v>
      </c>
    </row>
    <row r="718" spans="1:5">
      <c r="A718" s="30">
        <v>42676</v>
      </c>
      <c r="B718" s="28">
        <v>25.797228</v>
      </c>
      <c r="C718" s="28">
        <f t="shared" si="20"/>
        <v>8.9658336950639852E-4</v>
      </c>
      <c r="D718" s="31">
        <v>2097.94</v>
      </c>
      <c r="E718" s="28">
        <f t="shared" si="20"/>
        <v>-6.5468703977364399E-3</v>
      </c>
    </row>
    <row r="719" spans="1:5">
      <c r="A719" s="30">
        <v>42677</v>
      </c>
      <c r="B719" s="28">
        <v>25.520720000000001</v>
      </c>
      <c r="C719" s="28">
        <f t="shared" si="20"/>
        <v>-1.077637305006701E-2</v>
      </c>
      <c r="D719" s="31">
        <v>2088.66</v>
      </c>
      <c r="E719" s="28">
        <f t="shared" si="20"/>
        <v>-4.4331988718818317E-3</v>
      </c>
    </row>
    <row r="720" spans="1:5">
      <c r="A720" s="30">
        <v>42678</v>
      </c>
      <c r="B720" s="28">
        <v>25.290672000000001</v>
      </c>
      <c r="C720" s="28">
        <f t="shared" si="20"/>
        <v>-9.0550391484018403E-3</v>
      </c>
      <c r="D720" s="31">
        <v>2085.1799999999998</v>
      </c>
      <c r="E720" s="28">
        <f t="shared" si="20"/>
        <v>-1.6675295681625661E-3</v>
      </c>
    </row>
    <row r="721" spans="1:5">
      <c r="A721" s="30">
        <v>42681</v>
      </c>
      <c r="B721" s="28">
        <v>25.655488999999999</v>
      </c>
      <c r="C721" s="28">
        <f t="shared" si="20"/>
        <v>1.4321912727895786E-2</v>
      </c>
      <c r="D721" s="31">
        <v>2131.52</v>
      </c>
      <c r="E721" s="28">
        <f t="shared" si="20"/>
        <v>2.1980157782961814E-2</v>
      </c>
    </row>
    <row r="722" spans="1:5">
      <c r="A722" s="30">
        <v>42682</v>
      </c>
      <c r="B722" s="28">
        <v>25.806528</v>
      </c>
      <c r="C722" s="28">
        <f t="shared" si="20"/>
        <v>5.8699383541569033E-3</v>
      </c>
      <c r="D722" s="31">
        <v>2139.56</v>
      </c>
      <c r="E722" s="28">
        <f t="shared" si="20"/>
        <v>3.7648601743320194E-3</v>
      </c>
    </row>
    <row r="723" spans="1:5">
      <c r="A723" s="30">
        <v>42683</v>
      </c>
      <c r="B723" s="28">
        <v>25.764700000000001</v>
      </c>
      <c r="C723" s="28">
        <f t="shared" si="20"/>
        <v>-1.622145168698559E-3</v>
      </c>
      <c r="D723" s="31">
        <v>2163.2600000000002</v>
      </c>
      <c r="E723" s="28">
        <f t="shared" si="20"/>
        <v>1.1016142751234132E-2</v>
      </c>
    </row>
    <row r="724" spans="1:5">
      <c r="A724" s="30">
        <v>42684</v>
      </c>
      <c r="B724" s="28">
        <v>25.046690000000002</v>
      </c>
      <c r="C724" s="28">
        <f t="shared" si="20"/>
        <v>-2.8263654938065218E-2</v>
      </c>
      <c r="D724" s="31">
        <v>2167.48</v>
      </c>
      <c r="E724" s="28">
        <f t="shared" si="20"/>
        <v>1.9488592414451842E-3</v>
      </c>
    </row>
    <row r="725" spans="1:5">
      <c r="A725" s="30">
        <v>42685</v>
      </c>
      <c r="B725" s="28">
        <v>25.195402000000001</v>
      </c>
      <c r="C725" s="28">
        <f t="shared" si="20"/>
        <v>5.9198344803720717E-3</v>
      </c>
      <c r="D725" s="31">
        <v>2164.4499999999998</v>
      </c>
      <c r="E725" s="28">
        <f t="shared" si="20"/>
        <v>-1.398914799700448E-3</v>
      </c>
    </row>
    <row r="726" spans="1:5">
      <c r="A726" s="30">
        <v>42688</v>
      </c>
      <c r="B726" s="28">
        <v>24.563369999999999</v>
      </c>
      <c r="C726" s="28">
        <f t="shared" si="20"/>
        <v>-2.5405208702468356E-2</v>
      </c>
      <c r="D726" s="31">
        <v>2164.1999999999998</v>
      </c>
      <c r="E726" s="28">
        <f t="shared" si="20"/>
        <v>-1.155094545772426E-4</v>
      </c>
    </row>
    <row r="727" spans="1:5">
      <c r="A727" s="30">
        <v>42689</v>
      </c>
      <c r="B727" s="28">
        <v>24.888680999999998</v>
      </c>
      <c r="C727" s="28">
        <f t="shared" si="20"/>
        <v>1.3156812955825015E-2</v>
      </c>
      <c r="D727" s="31">
        <v>2180.39</v>
      </c>
      <c r="E727" s="28">
        <f t="shared" si="20"/>
        <v>7.4529817276226176E-3</v>
      </c>
    </row>
    <row r="728" spans="1:5">
      <c r="A728" s="30">
        <v>42690</v>
      </c>
      <c r="B728" s="28">
        <v>25.557898000000002</v>
      </c>
      <c r="C728" s="28">
        <f t="shared" si="20"/>
        <v>2.6533266450575257E-2</v>
      </c>
      <c r="D728" s="31">
        <v>2176.94</v>
      </c>
      <c r="E728" s="28">
        <f t="shared" si="20"/>
        <v>-1.5835388740046499E-3</v>
      </c>
    </row>
    <row r="729" spans="1:5">
      <c r="A729" s="30">
        <v>42691</v>
      </c>
      <c r="B729" s="28">
        <v>25.548594999999999</v>
      </c>
      <c r="C729" s="28">
        <f t="shared" si="20"/>
        <v>-3.6406333350857343E-4</v>
      </c>
      <c r="D729" s="31">
        <v>2187.12</v>
      </c>
      <c r="E729" s="28">
        <f t="shared" si="20"/>
        <v>4.6653888648148147E-3</v>
      </c>
    </row>
    <row r="730" spans="1:5">
      <c r="A730" s="30">
        <v>42692</v>
      </c>
      <c r="B730" s="28">
        <v>25.574162999999999</v>
      </c>
      <c r="C730" s="28">
        <f t="shared" si="20"/>
        <v>1.0002591069821155E-3</v>
      </c>
      <c r="D730" s="31">
        <v>2181.9</v>
      </c>
      <c r="E730" s="28">
        <f t="shared" si="20"/>
        <v>-2.3895530273762948E-3</v>
      </c>
    </row>
    <row r="731" spans="1:5">
      <c r="A731" s="30">
        <v>42695</v>
      </c>
      <c r="B731" s="28">
        <v>25.962208</v>
      </c>
      <c r="C731" s="28">
        <f t="shared" si="20"/>
        <v>1.5059358118716773E-2</v>
      </c>
      <c r="D731" s="31">
        <v>2198.1799999999998</v>
      </c>
      <c r="E731" s="28">
        <f t="shared" si="20"/>
        <v>7.4336884116068527E-3</v>
      </c>
    </row>
    <row r="732" spans="1:5">
      <c r="A732" s="30">
        <v>42696</v>
      </c>
      <c r="B732" s="28">
        <v>25.978473999999999</v>
      </c>
      <c r="C732" s="28">
        <f t="shared" si="20"/>
        <v>6.2632987883161763E-4</v>
      </c>
      <c r="D732" s="31">
        <v>2202.94</v>
      </c>
      <c r="E732" s="28">
        <f t="shared" si="20"/>
        <v>2.1630866034014736E-3</v>
      </c>
    </row>
    <row r="733" spans="1:5">
      <c r="A733" s="30">
        <v>42697</v>
      </c>
      <c r="B733" s="28">
        <v>25.846024</v>
      </c>
      <c r="C733" s="28">
        <f t="shared" si="20"/>
        <v>-5.1114933474379108E-3</v>
      </c>
      <c r="D733" s="31">
        <v>2204.7199999999998</v>
      </c>
      <c r="E733" s="28">
        <f t="shared" si="20"/>
        <v>8.0768484718235598E-4</v>
      </c>
    </row>
    <row r="734" spans="1:5">
      <c r="A734" s="30">
        <v>42699</v>
      </c>
      <c r="B734" s="28">
        <v>25.976154000000001</v>
      </c>
      <c r="C734" s="28">
        <f t="shared" si="20"/>
        <v>5.0221846528769329E-3</v>
      </c>
      <c r="D734" s="31">
        <v>2213.35</v>
      </c>
      <c r="E734" s="28">
        <f t="shared" si="20"/>
        <v>3.9066882037051285E-3</v>
      </c>
    </row>
    <row r="735" spans="1:5">
      <c r="A735" s="30">
        <v>42702</v>
      </c>
      <c r="B735" s="28">
        <v>25.92503</v>
      </c>
      <c r="C735" s="28">
        <f t="shared" si="20"/>
        <v>-1.970052033294676E-3</v>
      </c>
      <c r="D735" s="31">
        <v>2201.7199999999998</v>
      </c>
      <c r="E735" s="28">
        <f t="shared" si="20"/>
        <v>-5.2683318269105429E-3</v>
      </c>
    </row>
    <row r="736" spans="1:5">
      <c r="A736" s="30">
        <v>42703</v>
      </c>
      <c r="B736" s="28">
        <v>25.899473</v>
      </c>
      <c r="C736" s="28">
        <f t="shared" si="20"/>
        <v>-9.8629029097498924E-4</v>
      </c>
      <c r="D736" s="31">
        <v>2204.66</v>
      </c>
      <c r="E736" s="28">
        <f t="shared" si="20"/>
        <v>1.3344289127455414E-3</v>
      </c>
    </row>
    <row r="737" spans="1:5">
      <c r="A737" s="30">
        <v>42704</v>
      </c>
      <c r="B737" s="28">
        <v>25.681049000000002</v>
      </c>
      <c r="C737" s="28">
        <f t="shared" si="20"/>
        <v>-8.469294111007759E-3</v>
      </c>
      <c r="D737" s="31">
        <v>2198.81</v>
      </c>
      <c r="E737" s="28">
        <f t="shared" si="20"/>
        <v>-2.6569970689346348E-3</v>
      </c>
    </row>
    <row r="738" spans="1:5">
      <c r="A738" s="30">
        <v>42705</v>
      </c>
      <c r="B738" s="28">
        <v>25.44171</v>
      </c>
      <c r="C738" s="28">
        <f t="shared" si="20"/>
        <v>-9.363373703030432E-3</v>
      </c>
      <c r="D738" s="31">
        <v>2191.08</v>
      </c>
      <c r="E738" s="28">
        <f t="shared" si="20"/>
        <v>-3.5217319747589582E-3</v>
      </c>
    </row>
    <row r="739" spans="1:5">
      <c r="A739" s="30">
        <v>42706</v>
      </c>
      <c r="B739" s="28">
        <v>25.536985000000001</v>
      </c>
      <c r="C739" s="28">
        <f t="shared" si="20"/>
        <v>3.7378403243734462E-3</v>
      </c>
      <c r="D739" s="31">
        <v>2191.9499999999998</v>
      </c>
      <c r="E739" s="28">
        <f t="shared" si="20"/>
        <v>3.969856521291979E-4</v>
      </c>
    </row>
    <row r="740" spans="1:5">
      <c r="A740" s="30">
        <v>42709</v>
      </c>
      <c r="B740" s="28">
        <v>25.353414999999998</v>
      </c>
      <c r="C740" s="28">
        <f t="shared" si="20"/>
        <v>-7.2143585504466342E-3</v>
      </c>
      <c r="D740" s="31">
        <v>2204.71</v>
      </c>
      <c r="E740" s="28">
        <f t="shared" si="20"/>
        <v>5.8044223683808216E-3</v>
      </c>
    </row>
    <row r="741" spans="1:5">
      <c r="A741" s="30">
        <v>42710</v>
      </c>
      <c r="B741" s="28">
        <v>25.548594999999999</v>
      </c>
      <c r="C741" s="28">
        <f t="shared" si="20"/>
        <v>7.6688899544115462E-3</v>
      </c>
      <c r="D741" s="31">
        <v>2212.23</v>
      </c>
      <c r="E741" s="28">
        <f t="shared" si="20"/>
        <v>3.4050755798857375E-3</v>
      </c>
    </row>
    <row r="742" spans="1:5">
      <c r="A742" s="30">
        <v>42711</v>
      </c>
      <c r="B742" s="28">
        <v>25.799547</v>
      </c>
      <c r="C742" s="28">
        <f t="shared" si="20"/>
        <v>9.7746087114590867E-3</v>
      </c>
      <c r="D742" s="31">
        <v>2241.35</v>
      </c>
      <c r="E742" s="28">
        <f t="shared" si="20"/>
        <v>1.3077306345682039E-2</v>
      </c>
    </row>
    <row r="743" spans="1:5">
      <c r="A743" s="30">
        <v>42712</v>
      </c>
      <c r="B743" s="28">
        <v>26.052834000000001</v>
      </c>
      <c r="C743" s="28">
        <f t="shared" si="20"/>
        <v>9.7696194351447763E-3</v>
      </c>
      <c r="D743" s="31">
        <v>2246.19</v>
      </c>
      <c r="E743" s="28">
        <f t="shared" si="20"/>
        <v>2.1570846729904334E-3</v>
      </c>
    </row>
    <row r="744" spans="1:5">
      <c r="A744" s="30">
        <v>42713</v>
      </c>
      <c r="B744" s="28">
        <v>26.478065000000001</v>
      </c>
      <c r="C744" s="28">
        <f t="shared" si="20"/>
        <v>1.61901013116089E-2</v>
      </c>
      <c r="D744" s="31">
        <v>2259.5300000000002</v>
      </c>
      <c r="E744" s="28">
        <f t="shared" si="20"/>
        <v>5.9213794812155249E-3</v>
      </c>
    </row>
    <row r="745" spans="1:5">
      <c r="A745" s="30">
        <v>42716</v>
      </c>
      <c r="B745" s="28">
        <v>26.327020999999998</v>
      </c>
      <c r="C745" s="28">
        <f t="shared" si="20"/>
        <v>-5.7208281772532519E-3</v>
      </c>
      <c r="D745" s="31">
        <v>2256.96</v>
      </c>
      <c r="E745" s="28">
        <f t="shared" si="20"/>
        <v>-1.1380520171109239E-3</v>
      </c>
    </row>
    <row r="746" spans="1:5">
      <c r="A746" s="30">
        <v>42717</v>
      </c>
      <c r="B746" s="28">
        <v>26.766190000000002</v>
      </c>
      <c r="C746" s="28">
        <f t="shared" si="20"/>
        <v>1.6543697703468811E-2</v>
      </c>
      <c r="D746" s="31">
        <v>2271.7199999999998</v>
      </c>
      <c r="E746" s="28">
        <f t="shared" si="20"/>
        <v>6.5184787900044779E-3</v>
      </c>
    </row>
    <row r="747" spans="1:5">
      <c r="A747" s="30">
        <v>42718</v>
      </c>
      <c r="B747" s="28">
        <v>26.766190000000002</v>
      </c>
      <c r="C747" s="28">
        <f t="shared" si="20"/>
        <v>0</v>
      </c>
      <c r="D747" s="31">
        <v>2253.2800000000002</v>
      </c>
      <c r="E747" s="28">
        <f t="shared" si="20"/>
        <v>-8.1503213600785333E-3</v>
      </c>
    </row>
    <row r="748" spans="1:5">
      <c r="A748" s="30">
        <v>42719</v>
      </c>
      <c r="B748" s="28">
        <v>26.912583999999999</v>
      </c>
      <c r="C748" s="28">
        <f t="shared" si="20"/>
        <v>5.4544600049462235E-3</v>
      </c>
      <c r="D748" s="31">
        <v>2262.0300000000002</v>
      </c>
      <c r="E748" s="28">
        <f t="shared" si="20"/>
        <v>3.8757077378476596E-3</v>
      </c>
    </row>
    <row r="749" spans="1:5">
      <c r="A749" s="30">
        <v>42720</v>
      </c>
      <c r="B749" s="28">
        <v>26.947437000000001</v>
      </c>
      <c r="C749" s="28">
        <f t="shared" si="20"/>
        <v>1.2942068798977256E-3</v>
      </c>
      <c r="D749" s="31">
        <v>2258.0700000000002</v>
      </c>
      <c r="E749" s="28">
        <f t="shared" si="20"/>
        <v>-1.7521740727583343E-3</v>
      </c>
    </row>
    <row r="750" spans="1:5">
      <c r="A750" s="30">
        <v>42723</v>
      </c>
      <c r="B750" s="28">
        <v>27.10313</v>
      </c>
      <c r="C750" s="28">
        <f t="shared" si="20"/>
        <v>5.7610285795343733E-3</v>
      </c>
      <c r="D750" s="31">
        <v>2262.5300000000002</v>
      </c>
      <c r="E750" s="28">
        <f t="shared" si="20"/>
        <v>1.9731900398514256E-3</v>
      </c>
    </row>
    <row r="751" spans="1:5">
      <c r="A751" s="30">
        <v>42724</v>
      </c>
      <c r="B751" s="28">
        <v>27.175160999999999</v>
      </c>
      <c r="C751" s="28">
        <f t="shared" si="20"/>
        <v>2.654138181501967E-3</v>
      </c>
      <c r="D751" s="31">
        <v>2270.7600000000002</v>
      </c>
      <c r="E751" s="28">
        <f t="shared" si="20"/>
        <v>3.6309210492785509E-3</v>
      </c>
    </row>
    <row r="752" spans="1:5">
      <c r="A752" s="30">
        <v>42725</v>
      </c>
      <c r="B752" s="28">
        <v>27.200716</v>
      </c>
      <c r="C752" s="28">
        <f t="shared" si="20"/>
        <v>9.3993893216504228E-4</v>
      </c>
      <c r="D752" s="31">
        <v>2265.1799999999998</v>
      </c>
      <c r="E752" s="28">
        <f t="shared" si="20"/>
        <v>-2.4603512457385653E-3</v>
      </c>
    </row>
    <row r="753" spans="1:5">
      <c r="A753" s="30">
        <v>42726</v>
      </c>
      <c r="B753" s="28">
        <v>27.021795000000001</v>
      </c>
      <c r="C753" s="28">
        <f t="shared" si="20"/>
        <v>-6.599533886987417E-3</v>
      </c>
      <c r="D753" s="31">
        <v>2260.96</v>
      </c>
      <c r="E753" s="28">
        <f t="shared" si="20"/>
        <v>-1.8647241237848297E-3</v>
      </c>
    </row>
    <row r="754" spans="1:5">
      <c r="A754" s="30">
        <v>42727</v>
      </c>
      <c r="B754" s="28">
        <v>27.075239</v>
      </c>
      <c r="C754" s="28">
        <f t="shared" si="20"/>
        <v>1.9758575816622736E-3</v>
      </c>
      <c r="D754" s="31">
        <v>2263.79</v>
      </c>
      <c r="E754" s="28">
        <f t="shared" si="20"/>
        <v>1.2508980027710417E-3</v>
      </c>
    </row>
    <row r="755" spans="1:5">
      <c r="A755" s="30">
        <v>42731</v>
      </c>
      <c r="B755" s="28">
        <v>27.247198000000001</v>
      </c>
      <c r="C755" s="28">
        <f t="shared" si="20"/>
        <v>6.331069954675912E-3</v>
      </c>
      <c r="D755" s="31">
        <v>2268.88</v>
      </c>
      <c r="E755" s="28">
        <f t="shared" si="20"/>
        <v>2.2459178098379177E-3</v>
      </c>
    </row>
    <row r="756" spans="1:5">
      <c r="A756" s="30">
        <v>42732</v>
      </c>
      <c r="B756" s="28">
        <v>27.131014</v>
      </c>
      <c r="C756" s="28">
        <f t="shared" si="20"/>
        <v>-4.2731885628982565E-3</v>
      </c>
      <c r="D756" s="31">
        <v>2249.92</v>
      </c>
      <c r="E756" s="28">
        <f t="shared" si="20"/>
        <v>-8.3916576362484015E-3</v>
      </c>
    </row>
    <row r="757" spans="1:5">
      <c r="A757" s="30">
        <v>42733</v>
      </c>
      <c r="B757" s="28">
        <v>27.124037000000001</v>
      </c>
      <c r="C757" s="28">
        <f t="shared" si="20"/>
        <v>-2.5719264510354589E-4</v>
      </c>
      <c r="D757" s="31">
        <v>2249.2600000000002</v>
      </c>
      <c r="E757" s="28">
        <f t="shared" si="20"/>
        <v>-2.9338679703151362E-4</v>
      </c>
    </row>
    <row r="758" spans="1:5">
      <c r="A758" s="30">
        <v>42734</v>
      </c>
      <c r="B758" s="28">
        <v>26.912583999999999</v>
      </c>
      <c r="C758" s="28">
        <f t="shared" si="20"/>
        <v>-7.8263250144481288E-3</v>
      </c>
      <c r="D758" s="31">
        <v>2238.83</v>
      </c>
      <c r="E758" s="28">
        <f t="shared" si="20"/>
        <v>-4.6478652506068445E-3</v>
      </c>
    </row>
    <row r="759" spans="1:5">
      <c r="A759" s="30">
        <v>42738</v>
      </c>
      <c r="B759" s="28">
        <v>26.989265</v>
      </c>
      <c r="C759" s="28">
        <f t="shared" si="20"/>
        <v>2.8452104390385255E-3</v>
      </c>
      <c r="D759" s="31">
        <v>2257.83</v>
      </c>
      <c r="E759" s="28">
        <f t="shared" si="20"/>
        <v>8.4507670468079114E-3</v>
      </c>
    </row>
    <row r="760" spans="1:5">
      <c r="A760" s="30">
        <v>42739</v>
      </c>
      <c r="B760" s="28">
        <v>26.959060999999998</v>
      </c>
      <c r="C760" s="28">
        <f t="shared" si="20"/>
        <v>-1.1197382901500844E-3</v>
      </c>
      <c r="D760" s="31">
        <v>2270.75</v>
      </c>
      <c r="E760" s="28">
        <f t="shared" si="20"/>
        <v>5.7059983723568549E-3</v>
      </c>
    </row>
    <row r="761" spans="1:5">
      <c r="A761" s="30">
        <v>42740</v>
      </c>
      <c r="B761" s="28">
        <v>27.096153000000001</v>
      </c>
      <c r="C761" s="28">
        <f t="shared" si="20"/>
        <v>5.0723060287363826E-3</v>
      </c>
      <c r="D761" s="31">
        <v>2269</v>
      </c>
      <c r="E761" s="28">
        <f t="shared" si="20"/>
        <v>-7.7096760248118474E-4</v>
      </c>
    </row>
    <row r="762" spans="1:5">
      <c r="A762" s="30">
        <v>42741</v>
      </c>
      <c r="B762" s="28">
        <v>27.398222000000001</v>
      </c>
      <c r="C762" s="28">
        <f t="shared" si="20"/>
        <v>1.1086358688164181E-2</v>
      </c>
      <c r="D762" s="31">
        <v>2276.98</v>
      </c>
      <c r="E762" s="28">
        <f t="shared" si="20"/>
        <v>3.5107977582784673E-3</v>
      </c>
    </row>
    <row r="763" spans="1:5">
      <c r="A763" s="30">
        <v>42744</v>
      </c>
      <c r="B763" s="28">
        <v>27.649180999999999</v>
      </c>
      <c r="C763" s="28">
        <f t="shared" si="20"/>
        <v>9.1179864988954508E-3</v>
      </c>
      <c r="D763" s="31">
        <v>2268.9</v>
      </c>
      <c r="E763" s="28">
        <f t="shared" si="20"/>
        <v>-3.5548710080266039E-3</v>
      </c>
    </row>
    <row r="764" spans="1:5">
      <c r="A764" s="30">
        <v>42745</v>
      </c>
      <c r="B764" s="28">
        <v>27.677068999999999</v>
      </c>
      <c r="C764" s="28">
        <f t="shared" si="20"/>
        <v>1.0081291380471761E-3</v>
      </c>
      <c r="D764" s="31">
        <v>2268.9</v>
      </c>
      <c r="E764" s="28">
        <f t="shared" si="20"/>
        <v>0</v>
      </c>
    </row>
    <row r="765" spans="1:5">
      <c r="A765" s="30">
        <v>42746</v>
      </c>
      <c r="B765" s="28">
        <v>27.825780999999999</v>
      </c>
      <c r="C765" s="28">
        <f t="shared" si="20"/>
        <v>5.3587286370811215E-3</v>
      </c>
      <c r="D765" s="31">
        <v>2275.3200000000002</v>
      </c>
      <c r="E765" s="28">
        <f t="shared" si="20"/>
        <v>2.8255693040190599E-3</v>
      </c>
    </row>
    <row r="766" spans="1:5">
      <c r="A766" s="30">
        <v>42747</v>
      </c>
      <c r="B766" s="28">
        <v>27.709591</v>
      </c>
      <c r="C766" s="28">
        <f t="shared" si="20"/>
        <v>-4.1843663000971495E-3</v>
      </c>
      <c r="D766" s="31">
        <v>2270.44</v>
      </c>
      <c r="E766" s="28">
        <f t="shared" si="20"/>
        <v>-2.1470565426564801E-3</v>
      </c>
    </row>
    <row r="767" spans="1:5">
      <c r="A767" s="30">
        <v>42748</v>
      </c>
      <c r="B767" s="28">
        <v>27.660809</v>
      </c>
      <c r="C767" s="28">
        <f t="shared" si="20"/>
        <v>-1.7620249310552789E-3</v>
      </c>
      <c r="D767" s="31">
        <v>2274.64</v>
      </c>
      <c r="E767" s="28">
        <f t="shared" si="20"/>
        <v>1.8481528138047062E-3</v>
      </c>
    </row>
    <row r="768" spans="1:5">
      <c r="A768" s="30">
        <v>42752</v>
      </c>
      <c r="B768" s="28">
        <v>27.883870999999999</v>
      </c>
      <c r="C768" s="28">
        <f t="shared" si="20"/>
        <v>8.0318474839898863E-3</v>
      </c>
      <c r="D768" s="31">
        <v>2267.89</v>
      </c>
      <c r="E768" s="28">
        <f t="shared" si="20"/>
        <v>-2.9719143156583245E-3</v>
      </c>
    </row>
    <row r="769" spans="1:5">
      <c r="A769" s="30">
        <v>42753</v>
      </c>
      <c r="B769" s="28">
        <v>27.881546</v>
      </c>
      <c r="C769" s="28">
        <f t="shared" si="20"/>
        <v>-8.3385012662872435E-5</v>
      </c>
      <c r="D769" s="31">
        <v>2271.89</v>
      </c>
      <c r="E769" s="28">
        <f t="shared" si="20"/>
        <v>1.7622003864136812E-3</v>
      </c>
    </row>
    <row r="770" spans="1:5">
      <c r="A770" s="30">
        <v>42754</v>
      </c>
      <c r="B770" s="28">
        <v>27.832751999999999</v>
      </c>
      <c r="C770" s="28">
        <f t="shared" si="20"/>
        <v>-1.7515795487587594E-3</v>
      </c>
      <c r="D770" s="31">
        <v>2263.69</v>
      </c>
      <c r="E770" s="28">
        <f t="shared" si="20"/>
        <v>-3.6158590231882884E-3</v>
      </c>
    </row>
    <row r="771" spans="1:5">
      <c r="A771" s="30">
        <v>42755</v>
      </c>
      <c r="B771" s="28">
        <v>27.883870999999999</v>
      </c>
      <c r="C771" s="28">
        <f t="shared" si="20"/>
        <v>1.8349645614214737E-3</v>
      </c>
      <c r="D771" s="31">
        <v>2271.31</v>
      </c>
      <c r="E771" s="28">
        <f t="shared" si="20"/>
        <v>3.3605323797867037E-3</v>
      </c>
    </row>
    <row r="772" spans="1:5">
      <c r="A772" s="30">
        <v>42758</v>
      </c>
      <c r="B772" s="28">
        <v>27.902466</v>
      </c>
      <c r="C772" s="28">
        <f t="shared" si="20"/>
        <v>6.6665071372834441E-4</v>
      </c>
      <c r="D772" s="31">
        <v>2265.1999999999998</v>
      </c>
      <c r="E772" s="28">
        <f t="shared" si="20"/>
        <v>-2.6937022929649501E-3</v>
      </c>
    </row>
    <row r="773" spans="1:5">
      <c r="A773" s="30">
        <v>42759</v>
      </c>
      <c r="B773" s="28">
        <v>27.876904</v>
      </c>
      <c r="C773" s="28">
        <f t="shared" ref="C773:E836" si="21">LN(B773/B772)</f>
        <v>-9.1653963784229934E-4</v>
      </c>
      <c r="D773" s="31">
        <v>2280.0700000000002</v>
      </c>
      <c r="E773" s="28">
        <f t="shared" si="21"/>
        <v>6.5430889919335022E-3</v>
      </c>
    </row>
    <row r="774" spans="1:5">
      <c r="A774" s="30">
        <v>42760</v>
      </c>
      <c r="B774" s="28">
        <v>28.320723000000001</v>
      </c>
      <c r="C774" s="28">
        <f t="shared" si="21"/>
        <v>1.5795265780317098E-2</v>
      </c>
      <c r="D774" s="31">
        <v>2298.37</v>
      </c>
      <c r="E774" s="28">
        <f t="shared" si="21"/>
        <v>7.9940317900096345E-3</v>
      </c>
    </row>
    <row r="775" spans="1:5">
      <c r="A775" s="30">
        <v>42761</v>
      </c>
      <c r="B775" s="28">
        <v>28.334661000000001</v>
      </c>
      <c r="C775" s="28">
        <f t="shared" si="21"/>
        <v>4.9202738723605444E-4</v>
      </c>
      <c r="D775" s="31">
        <v>2296.6799999999998</v>
      </c>
      <c r="E775" s="28">
        <f t="shared" si="21"/>
        <v>-7.355741836108801E-4</v>
      </c>
    </row>
    <row r="776" spans="1:5">
      <c r="A776" s="30">
        <v>42762</v>
      </c>
      <c r="B776" s="28">
        <v>28.336987000000001</v>
      </c>
      <c r="C776" s="28">
        <f t="shared" si="21"/>
        <v>8.2086901771574283E-5</v>
      </c>
      <c r="D776" s="31">
        <v>2294.69</v>
      </c>
      <c r="E776" s="28">
        <f t="shared" si="21"/>
        <v>-8.6684371967846608E-4</v>
      </c>
    </row>
    <row r="777" spans="1:5">
      <c r="A777" s="30">
        <v>42765</v>
      </c>
      <c r="B777" s="28">
        <v>28.262629</v>
      </c>
      <c r="C777" s="28">
        <f t="shared" si="21"/>
        <v>-2.6275105039391933E-3</v>
      </c>
      <c r="D777" s="31">
        <v>2280.9</v>
      </c>
      <c r="E777" s="28">
        <f t="shared" si="21"/>
        <v>-6.027656215802972E-3</v>
      </c>
    </row>
    <row r="778" spans="1:5">
      <c r="A778" s="30">
        <v>42766</v>
      </c>
      <c r="B778" s="28">
        <v>28.197571</v>
      </c>
      <c r="C778" s="28">
        <f t="shared" si="21"/>
        <v>-2.3045624632441679E-3</v>
      </c>
      <c r="D778" s="31">
        <v>2278.87</v>
      </c>
      <c r="E778" s="28">
        <f t="shared" si="21"/>
        <v>-8.9039584633273847E-4</v>
      </c>
    </row>
    <row r="779" spans="1:5">
      <c r="A779" s="30">
        <v>42767</v>
      </c>
      <c r="B779" s="28">
        <v>29.917068</v>
      </c>
      <c r="C779" s="28">
        <f t="shared" si="21"/>
        <v>5.9193314169596355E-2</v>
      </c>
      <c r="D779" s="31">
        <v>2279.5500000000002</v>
      </c>
      <c r="E779" s="28">
        <f t="shared" si="21"/>
        <v>2.983489915560355E-4</v>
      </c>
    </row>
    <row r="780" spans="1:5">
      <c r="A780" s="30">
        <v>42768</v>
      </c>
      <c r="B780" s="28">
        <v>29.865952</v>
      </c>
      <c r="C780" s="28">
        <f t="shared" si="21"/>
        <v>-1.7100511970267835E-3</v>
      </c>
      <c r="D780" s="31">
        <v>2280.85</v>
      </c>
      <c r="E780" s="28">
        <f t="shared" si="21"/>
        <v>5.7012544303699489E-4</v>
      </c>
    </row>
    <row r="781" spans="1:5">
      <c r="A781" s="30">
        <v>42769</v>
      </c>
      <c r="B781" s="28">
        <v>29.993755</v>
      </c>
      <c r="C781" s="28">
        <f t="shared" si="21"/>
        <v>4.2700908707470463E-3</v>
      </c>
      <c r="D781" s="31">
        <v>2297.42</v>
      </c>
      <c r="E781" s="28">
        <f t="shared" si="21"/>
        <v>7.2385736758165571E-3</v>
      </c>
    </row>
    <row r="782" spans="1:5">
      <c r="A782" s="30">
        <v>42772</v>
      </c>
      <c r="B782" s="28">
        <v>30.274916000000001</v>
      </c>
      <c r="C782" s="28">
        <f t="shared" si="21"/>
        <v>9.3303215430320038E-3</v>
      </c>
      <c r="D782" s="31">
        <v>2292.56</v>
      </c>
      <c r="E782" s="28">
        <f t="shared" si="21"/>
        <v>-2.1176570774647531E-3</v>
      </c>
    </row>
    <row r="783" spans="1:5">
      <c r="A783" s="30">
        <v>42773</v>
      </c>
      <c r="B783" s="28">
        <v>30.563048999999999</v>
      </c>
      <c r="C783" s="28">
        <f t="shared" si="21"/>
        <v>9.4722153951058759E-3</v>
      </c>
      <c r="D783" s="31">
        <v>2293.08</v>
      </c>
      <c r="E783" s="28">
        <f t="shared" si="21"/>
        <v>2.267949521675034E-4</v>
      </c>
    </row>
    <row r="784" spans="1:5">
      <c r="A784" s="30">
        <v>42774</v>
      </c>
      <c r="B784" s="28">
        <v>30.681545</v>
      </c>
      <c r="C784" s="28">
        <f t="shared" si="21"/>
        <v>3.8696035069334923E-3</v>
      </c>
      <c r="D784" s="31">
        <v>2294.67</v>
      </c>
      <c r="E784" s="28">
        <f t="shared" si="21"/>
        <v>6.9315026479685557E-4</v>
      </c>
    </row>
    <row r="785" spans="1:5">
      <c r="A785" s="30">
        <v>42775</v>
      </c>
      <c r="B785" s="28">
        <v>30.903265000000001</v>
      </c>
      <c r="C785" s="28">
        <f t="shared" si="21"/>
        <v>7.2005079812614775E-3</v>
      </c>
      <c r="D785" s="31">
        <v>2307.87</v>
      </c>
      <c r="E785" s="28">
        <f t="shared" si="21"/>
        <v>5.7359789123306989E-3</v>
      </c>
    </row>
    <row r="786" spans="1:5">
      <c r="A786" s="30">
        <v>42776</v>
      </c>
      <c r="B786" s="28">
        <v>30.833245999999999</v>
      </c>
      <c r="C786" s="28">
        <f t="shared" si="21"/>
        <v>-2.2683183383075049E-3</v>
      </c>
      <c r="D786" s="31">
        <v>2316.1</v>
      </c>
      <c r="E786" s="28">
        <f t="shared" si="21"/>
        <v>3.559715435258431E-3</v>
      </c>
    </row>
    <row r="787" spans="1:5">
      <c r="A787" s="30">
        <v>42779</v>
      </c>
      <c r="B787" s="28">
        <v>31.106297999999999</v>
      </c>
      <c r="C787" s="28">
        <f t="shared" si="21"/>
        <v>8.8167833079626327E-3</v>
      </c>
      <c r="D787" s="31">
        <v>2328.25</v>
      </c>
      <c r="E787" s="28">
        <f t="shared" si="21"/>
        <v>5.2321757481008707E-3</v>
      </c>
    </row>
    <row r="788" spans="1:5">
      <c r="A788" s="30">
        <v>42780</v>
      </c>
      <c r="B788" s="28">
        <v>31.510028999999999</v>
      </c>
      <c r="C788" s="28">
        <f t="shared" si="21"/>
        <v>1.2895569389719334E-2</v>
      </c>
      <c r="D788" s="31">
        <v>2337.58</v>
      </c>
      <c r="E788" s="28">
        <f t="shared" si="21"/>
        <v>3.9992937743571818E-3</v>
      </c>
    </row>
    <row r="789" spans="1:5">
      <c r="A789" s="30">
        <v>42781</v>
      </c>
      <c r="B789" s="28">
        <v>31.624379999999999</v>
      </c>
      <c r="C789" s="28">
        <f t="shared" si="21"/>
        <v>3.6224660009177619E-3</v>
      </c>
      <c r="D789" s="31">
        <v>2349.25</v>
      </c>
      <c r="E789" s="28">
        <f t="shared" si="21"/>
        <v>4.9799220870501608E-3</v>
      </c>
    </row>
    <row r="790" spans="1:5">
      <c r="A790" s="30">
        <v>42782</v>
      </c>
      <c r="B790" s="28">
        <v>31.587043999999999</v>
      </c>
      <c r="C790" s="28">
        <f t="shared" si="21"/>
        <v>-1.1813055925401336E-3</v>
      </c>
      <c r="D790" s="31">
        <v>2347.2199999999998</v>
      </c>
      <c r="E790" s="28">
        <f t="shared" si="21"/>
        <v>-8.644791200295176E-4</v>
      </c>
    </row>
    <row r="791" spans="1:5">
      <c r="A791" s="30">
        <v>42783</v>
      </c>
      <c r="B791" s="28">
        <v>31.673390999999999</v>
      </c>
      <c r="C791" s="28">
        <f t="shared" si="21"/>
        <v>2.7298912384552429E-3</v>
      </c>
      <c r="D791" s="31">
        <v>2351.16</v>
      </c>
      <c r="E791" s="28">
        <f t="shared" si="21"/>
        <v>1.6771742275309119E-3</v>
      </c>
    </row>
    <row r="792" spans="1:5">
      <c r="A792" s="30">
        <v>42787</v>
      </c>
      <c r="B792" s="28">
        <v>31.902096</v>
      </c>
      <c r="C792" s="28">
        <f t="shared" si="21"/>
        <v>7.1947852031110709E-3</v>
      </c>
      <c r="D792" s="31">
        <v>2365.38</v>
      </c>
      <c r="E792" s="28">
        <f t="shared" si="21"/>
        <v>6.0298621810357042E-3</v>
      </c>
    </row>
    <row r="793" spans="1:5">
      <c r="A793" s="30">
        <v>42788</v>
      </c>
      <c r="B793" s="28">
        <v>31.997782000000001</v>
      </c>
      <c r="C793" s="28">
        <f t="shared" si="21"/>
        <v>2.9948749360523249E-3</v>
      </c>
      <c r="D793" s="31">
        <v>2362.8200000000002</v>
      </c>
      <c r="E793" s="28">
        <f t="shared" si="21"/>
        <v>-1.0828646208509895E-3</v>
      </c>
    </row>
    <row r="794" spans="1:5">
      <c r="A794" s="30">
        <v>42789</v>
      </c>
      <c r="B794" s="28">
        <v>31.862423</v>
      </c>
      <c r="C794" s="28">
        <f t="shared" si="21"/>
        <v>-4.2392348321646312E-3</v>
      </c>
      <c r="D794" s="31">
        <v>2363.81</v>
      </c>
      <c r="E794" s="28">
        <f t="shared" si="21"/>
        <v>4.1890311468295642E-4</v>
      </c>
    </row>
    <row r="795" spans="1:5">
      <c r="A795" s="30">
        <v>42790</v>
      </c>
      <c r="B795" s="28">
        <v>31.892762999999999</v>
      </c>
      <c r="C795" s="28">
        <f t="shared" si="21"/>
        <v>9.5176578389438249E-4</v>
      </c>
      <c r="D795" s="31">
        <v>2367.34</v>
      </c>
      <c r="E795" s="28">
        <f t="shared" si="21"/>
        <v>1.4922378935534736E-3</v>
      </c>
    </row>
    <row r="796" spans="1:5">
      <c r="A796" s="30">
        <v>42793</v>
      </c>
      <c r="B796" s="28">
        <v>31.955769</v>
      </c>
      <c r="C796" s="28">
        <f t="shared" si="21"/>
        <v>1.9736090549863326E-3</v>
      </c>
      <c r="D796" s="31">
        <v>2369.75</v>
      </c>
      <c r="E796" s="28">
        <f t="shared" si="21"/>
        <v>1.0175023940541276E-3</v>
      </c>
    </row>
    <row r="797" spans="1:5">
      <c r="A797" s="30">
        <v>42794</v>
      </c>
      <c r="B797" s="28">
        <v>31.96978</v>
      </c>
      <c r="C797" s="28">
        <f t="shared" si="21"/>
        <v>4.383536924917419E-4</v>
      </c>
      <c r="D797" s="31">
        <v>2363.64</v>
      </c>
      <c r="E797" s="28">
        <f t="shared" si="21"/>
        <v>-2.5816606675474183E-3</v>
      </c>
    </row>
    <row r="798" spans="1:5">
      <c r="A798" s="30">
        <v>42795</v>
      </c>
      <c r="B798" s="28">
        <v>32.623215000000002</v>
      </c>
      <c r="C798" s="28">
        <f t="shared" si="21"/>
        <v>2.0233069905675992E-2</v>
      </c>
      <c r="D798" s="31">
        <v>2395.96</v>
      </c>
      <c r="E798" s="28">
        <f t="shared" si="21"/>
        <v>1.3581181939563836E-2</v>
      </c>
    </row>
    <row r="799" spans="1:5">
      <c r="A799" s="30">
        <v>42796</v>
      </c>
      <c r="B799" s="28">
        <v>32.429519999999997</v>
      </c>
      <c r="C799" s="28">
        <f t="shared" si="21"/>
        <v>-5.9550324027824201E-3</v>
      </c>
      <c r="D799" s="31">
        <v>2381.92</v>
      </c>
      <c r="E799" s="28">
        <f t="shared" si="21"/>
        <v>-5.8771004764202996E-3</v>
      </c>
    </row>
    <row r="800" spans="1:5">
      <c r="A800" s="30">
        <v>42797</v>
      </c>
      <c r="B800" s="28">
        <v>32.620876000000003</v>
      </c>
      <c r="C800" s="28">
        <f t="shared" si="21"/>
        <v>5.8833324230553726E-3</v>
      </c>
      <c r="D800" s="31">
        <v>2383.12</v>
      </c>
      <c r="E800" s="28">
        <f t="shared" si="21"/>
        <v>5.0366839538305158E-4</v>
      </c>
    </row>
    <row r="801" spans="1:5">
      <c r="A801" s="30">
        <v>42800</v>
      </c>
      <c r="B801" s="28">
        <v>32.518203999999997</v>
      </c>
      <c r="C801" s="28">
        <f t="shared" si="21"/>
        <v>-3.1523959204242968E-3</v>
      </c>
      <c r="D801" s="31">
        <v>2375.31</v>
      </c>
      <c r="E801" s="28">
        <f t="shared" si="21"/>
        <v>-3.2825982574175411E-3</v>
      </c>
    </row>
    <row r="802" spans="1:5">
      <c r="A802" s="30">
        <v>42801</v>
      </c>
      <c r="B802" s="28">
        <v>32.560200000000002</v>
      </c>
      <c r="C802" s="28">
        <f t="shared" si="21"/>
        <v>1.2906280193801358E-3</v>
      </c>
      <c r="D802" s="31">
        <v>2368.39</v>
      </c>
      <c r="E802" s="28">
        <f t="shared" si="21"/>
        <v>-2.9175558777588639E-3</v>
      </c>
    </row>
    <row r="803" spans="1:5">
      <c r="A803" s="30">
        <v>42802</v>
      </c>
      <c r="B803" s="28">
        <v>32.438858000000003</v>
      </c>
      <c r="C803" s="28">
        <f t="shared" si="21"/>
        <v>-3.7336584465885443E-3</v>
      </c>
      <c r="D803" s="31">
        <v>2362.98</v>
      </c>
      <c r="E803" s="28">
        <f t="shared" si="21"/>
        <v>-2.2868650550458714E-3</v>
      </c>
    </row>
    <row r="804" spans="1:5">
      <c r="A804" s="30">
        <v>42803</v>
      </c>
      <c r="B804" s="28">
        <v>32.364165999999997</v>
      </c>
      <c r="C804" s="28">
        <f t="shared" si="21"/>
        <v>-2.3052020867372039E-3</v>
      </c>
      <c r="D804" s="31">
        <v>2364.87</v>
      </c>
      <c r="E804" s="28">
        <f t="shared" si="21"/>
        <v>7.9951779378723649E-4</v>
      </c>
    </row>
    <row r="805" spans="1:5">
      <c r="A805" s="30">
        <v>42804</v>
      </c>
      <c r="B805" s="28">
        <v>32.471530999999999</v>
      </c>
      <c r="C805" s="28">
        <f t="shared" si="21"/>
        <v>3.3119131313870771E-3</v>
      </c>
      <c r="D805" s="31">
        <v>2372.6</v>
      </c>
      <c r="E805" s="28">
        <f t="shared" si="21"/>
        <v>3.2633480993077457E-3</v>
      </c>
    </row>
    <row r="806" spans="1:5">
      <c r="A806" s="30">
        <v>42807</v>
      </c>
      <c r="B806" s="28">
        <v>32.485526999999998</v>
      </c>
      <c r="C806" s="28">
        <f t="shared" si="21"/>
        <v>4.3093085332112659E-4</v>
      </c>
      <c r="D806" s="31">
        <v>2373.4699999999998</v>
      </c>
      <c r="E806" s="28">
        <f t="shared" si="21"/>
        <v>3.6661912266134326E-4</v>
      </c>
    </row>
    <row r="807" spans="1:5">
      <c r="A807" s="30">
        <v>42808</v>
      </c>
      <c r="B807" s="28">
        <v>32.436523000000001</v>
      </c>
      <c r="C807" s="28">
        <f t="shared" si="21"/>
        <v>-1.5096260609932365E-3</v>
      </c>
      <c r="D807" s="31">
        <v>2365.4499999999998</v>
      </c>
      <c r="E807" s="28">
        <f t="shared" si="21"/>
        <v>-3.3847406821550332E-3</v>
      </c>
    </row>
    <row r="808" spans="1:5">
      <c r="A808" s="30">
        <v>42809</v>
      </c>
      <c r="B808" s="28">
        <v>32.779578999999998</v>
      </c>
      <c r="C808" s="28">
        <f t="shared" si="21"/>
        <v>1.052068902413124E-2</v>
      </c>
      <c r="D808" s="31">
        <v>2385.2600000000002</v>
      </c>
      <c r="E808" s="28">
        <f t="shared" si="21"/>
        <v>8.3398543883171257E-3</v>
      </c>
    </row>
    <row r="809" spans="1:5">
      <c r="A809" s="30">
        <v>42810</v>
      </c>
      <c r="B809" s="28">
        <v>32.833241000000001</v>
      </c>
      <c r="C809" s="28">
        <f t="shared" si="21"/>
        <v>1.6357172871005275E-3</v>
      </c>
      <c r="D809" s="31">
        <v>2381.38</v>
      </c>
      <c r="E809" s="28">
        <f t="shared" si="21"/>
        <v>-1.6279814951152382E-3</v>
      </c>
    </row>
    <row r="810" spans="1:5">
      <c r="A810" s="30">
        <v>42811</v>
      </c>
      <c r="B810" s="28">
        <v>32.669902999999998</v>
      </c>
      <c r="C810" s="28">
        <f t="shared" si="21"/>
        <v>-4.9871907994544877E-3</v>
      </c>
      <c r="D810" s="31">
        <v>2378.25</v>
      </c>
      <c r="E810" s="28">
        <f t="shared" si="21"/>
        <v>-1.315228474144621E-3</v>
      </c>
    </row>
    <row r="811" spans="1:5">
      <c r="A811" s="30">
        <v>42814</v>
      </c>
      <c r="B811" s="28">
        <v>33.012959000000002</v>
      </c>
      <c r="C811" s="28">
        <f t="shared" si="21"/>
        <v>1.0445924827118577E-2</v>
      </c>
      <c r="D811" s="31">
        <v>2373.4699999999998</v>
      </c>
      <c r="E811" s="28">
        <f t="shared" si="21"/>
        <v>-2.0119037369022092E-3</v>
      </c>
    </row>
    <row r="812" spans="1:5">
      <c r="A812" s="30">
        <v>42815</v>
      </c>
      <c r="B812" s="28">
        <v>32.634884</v>
      </c>
      <c r="C812" s="28">
        <f t="shared" si="21"/>
        <v>-1.1518403736102823E-2</v>
      </c>
      <c r="D812" s="31">
        <v>2344.02</v>
      </c>
      <c r="E812" s="28">
        <f t="shared" si="21"/>
        <v>-1.2485615265953647E-2</v>
      </c>
    </row>
    <row r="813" spans="1:5">
      <c r="A813" s="30">
        <v>42816</v>
      </c>
      <c r="B813" s="28">
        <v>33.003613000000001</v>
      </c>
      <c r="C813" s="28">
        <f t="shared" si="21"/>
        <v>1.1235262707136876E-2</v>
      </c>
      <c r="D813" s="31">
        <v>2348.4499999999998</v>
      </c>
      <c r="E813" s="28">
        <f t="shared" si="21"/>
        <v>1.8881319714754499E-3</v>
      </c>
    </row>
    <row r="814" spans="1:5">
      <c r="A814" s="30">
        <v>42817</v>
      </c>
      <c r="B814" s="28">
        <v>32.886929000000002</v>
      </c>
      <c r="C814" s="28">
        <f t="shared" si="21"/>
        <v>-3.5417563259387873E-3</v>
      </c>
      <c r="D814" s="31">
        <v>2345.96</v>
      </c>
      <c r="E814" s="28">
        <f t="shared" si="21"/>
        <v>-1.0608362855033045E-3</v>
      </c>
    </row>
    <row r="815" spans="1:5">
      <c r="A815" s="30">
        <v>42818</v>
      </c>
      <c r="B815" s="28">
        <v>32.82159</v>
      </c>
      <c r="C815" s="28">
        <f t="shared" si="21"/>
        <v>-1.9887534380560118E-3</v>
      </c>
      <c r="D815" s="31">
        <v>2343.98</v>
      </c>
      <c r="E815" s="28">
        <f t="shared" si="21"/>
        <v>-8.4436053238891068E-4</v>
      </c>
    </row>
    <row r="816" spans="1:5">
      <c r="A816" s="30">
        <v>42821</v>
      </c>
      <c r="B816" s="28">
        <v>32.877602000000003</v>
      </c>
      <c r="C816" s="28">
        <f t="shared" si="21"/>
        <v>1.7051050968997475E-3</v>
      </c>
      <c r="D816" s="31">
        <v>2341.59</v>
      </c>
      <c r="E816" s="28">
        <f t="shared" si="21"/>
        <v>-1.0201534529525073E-3</v>
      </c>
    </row>
    <row r="817" spans="1:5">
      <c r="A817" s="30">
        <v>42822</v>
      </c>
      <c r="B817" s="28">
        <v>33.559044</v>
      </c>
      <c r="C817" s="28">
        <f t="shared" si="21"/>
        <v>2.0514759245215446E-2</v>
      </c>
      <c r="D817" s="31">
        <v>2358.5700000000002</v>
      </c>
      <c r="E817" s="28">
        <f t="shared" si="21"/>
        <v>7.2253173808166449E-3</v>
      </c>
    </row>
    <row r="818" spans="1:5">
      <c r="A818" s="30">
        <v>42823</v>
      </c>
      <c r="B818" s="28">
        <v>33.633716999999997</v>
      </c>
      <c r="C818" s="28">
        <f t="shared" si="21"/>
        <v>2.2226510603273529E-3</v>
      </c>
      <c r="D818" s="31">
        <v>2361.13</v>
      </c>
      <c r="E818" s="28">
        <f t="shared" si="21"/>
        <v>1.0848148191858569E-3</v>
      </c>
    </row>
    <row r="819" spans="1:5">
      <c r="A819" s="30">
        <v>42824</v>
      </c>
      <c r="B819" s="28">
        <v>33.589390000000002</v>
      </c>
      <c r="C819" s="28">
        <f t="shared" si="21"/>
        <v>-1.3188026677971138E-3</v>
      </c>
      <c r="D819" s="31">
        <v>2368.06</v>
      </c>
      <c r="E819" s="28">
        <f t="shared" si="21"/>
        <v>2.9307365363928895E-3</v>
      </c>
    </row>
    <row r="820" spans="1:5">
      <c r="A820" s="30">
        <v>42825</v>
      </c>
      <c r="B820" s="28">
        <v>33.526363000000003</v>
      </c>
      <c r="C820" s="28">
        <f t="shared" si="21"/>
        <v>-1.878158724590503E-3</v>
      </c>
      <c r="D820" s="31">
        <v>2362.7199999999998</v>
      </c>
      <c r="E820" s="28">
        <f t="shared" si="21"/>
        <v>-2.2575567952728324E-3</v>
      </c>
    </row>
    <row r="821" spans="1:5">
      <c r="A821" s="30">
        <v>42828</v>
      </c>
      <c r="B821" s="28">
        <v>33.535697999999996</v>
      </c>
      <c r="C821" s="28">
        <f t="shared" si="21"/>
        <v>2.783988419408892E-4</v>
      </c>
      <c r="D821" s="31">
        <v>2358.84</v>
      </c>
      <c r="E821" s="28">
        <f t="shared" si="21"/>
        <v>-1.6435249677560892E-3</v>
      </c>
    </row>
    <row r="822" spans="1:5">
      <c r="A822" s="30">
        <v>42829</v>
      </c>
      <c r="B822" s="28">
        <v>33.785412000000001</v>
      </c>
      <c r="C822" s="28">
        <f t="shared" si="21"/>
        <v>7.4186282808331909E-3</v>
      </c>
      <c r="D822" s="31">
        <v>2360.16</v>
      </c>
      <c r="E822" s="28">
        <f t="shared" si="21"/>
        <v>5.5944057403117787E-4</v>
      </c>
    </row>
    <row r="823" spans="1:5">
      <c r="A823" s="30">
        <v>42830</v>
      </c>
      <c r="B823" s="28">
        <v>33.610393999999999</v>
      </c>
      <c r="C823" s="28">
        <f t="shared" si="21"/>
        <v>-5.1937473208901411E-3</v>
      </c>
      <c r="D823" s="31">
        <v>2352.9499999999998</v>
      </c>
      <c r="E823" s="28">
        <f t="shared" si="21"/>
        <v>-3.0595532989129127E-3</v>
      </c>
    </row>
    <row r="824" spans="1:5">
      <c r="A824" s="30">
        <v>42831</v>
      </c>
      <c r="B824" s="28">
        <v>33.526363000000003</v>
      </c>
      <c r="C824" s="28">
        <f t="shared" si="21"/>
        <v>-2.5032798018840147E-3</v>
      </c>
      <c r="D824" s="31">
        <v>2357.4899999999998</v>
      </c>
      <c r="E824" s="28">
        <f t="shared" si="21"/>
        <v>1.9276336842417722E-3</v>
      </c>
    </row>
    <row r="825" spans="1:5">
      <c r="A825" s="30">
        <v>42832</v>
      </c>
      <c r="B825" s="28">
        <v>33.451687</v>
      </c>
      <c r="C825" s="28">
        <f t="shared" si="21"/>
        <v>-2.2298657826745256E-3</v>
      </c>
      <c r="D825" s="31">
        <v>2355.54</v>
      </c>
      <c r="E825" s="28">
        <f t="shared" si="21"/>
        <v>-8.2749318857336135E-4</v>
      </c>
    </row>
    <row r="826" spans="1:5">
      <c r="A826" s="30">
        <v>42835</v>
      </c>
      <c r="B826" s="28">
        <v>33.412022</v>
      </c>
      <c r="C826" s="28">
        <f t="shared" si="21"/>
        <v>-1.1864434458119027E-3</v>
      </c>
      <c r="D826" s="31">
        <v>2357.16</v>
      </c>
      <c r="E826" s="28">
        <f t="shared" si="21"/>
        <v>6.8750400569067267E-4</v>
      </c>
    </row>
    <row r="827" spans="1:5">
      <c r="A827" s="30">
        <v>42836</v>
      </c>
      <c r="B827" s="28">
        <v>33.052627999999999</v>
      </c>
      <c r="C827" s="28">
        <f t="shared" si="21"/>
        <v>-1.0814696318012774E-2</v>
      </c>
      <c r="D827" s="31">
        <v>2353.7800000000002</v>
      </c>
      <c r="E827" s="28">
        <f t="shared" si="21"/>
        <v>-1.4349580253540969E-3</v>
      </c>
    </row>
    <row r="828" spans="1:5">
      <c r="A828" s="30">
        <v>42837</v>
      </c>
      <c r="B828" s="28">
        <v>33.092292999999998</v>
      </c>
      <c r="C828" s="28">
        <f t="shared" si="21"/>
        <v>1.1993363709523047E-3</v>
      </c>
      <c r="D828" s="31">
        <v>2344.9299999999998</v>
      </c>
      <c r="E828" s="28">
        <f t="shared" si="21"/>
        <v>-3.7669958202624669E-3</v>
      </c>
    </row>
    <row r="829" spans="1:5">
      <c r="A829" s="30">
        <v>42838</v>
      </c>
      <c r="B829" s="28">
        <v>32.917273999999999</v>
      </c>
      <c r="C829" s="28">
        <f t="shared" si="21"/>
        <v>-5.3028498166277837E-3</v>
      </c>
      <c r="D829" s="31">
        <v>2328.9499999999998</v>
      </c>
      <c r="E829" s="28">
        <f t="shared" si="21"/>
        <v>-6.8380284760690994E-3</v>
      </c>
    </row>
    <row r="830" spans="1:5">
      <c r="A830" s="30">
        <v>42842</v>
      </c>
      <c r="B830" s="28">
        <v>33.099297</v>
      </c>
      <c r="C830" s="28">
        <f t="shared" si="21"/>
        <v>5.5144779109564173E-3</v>
      </c>
      <c r="D830" s="31">
        <v>2349.0100000000002</v>
      </c>
      <c r="E830" s="28">
        <f t="shared" si="21"/>
        <v>8.5764405680456898E-3</v>
      </c>
    </row>
    <row r="831" spans="1:5">
      <c r="A831" s="30">
        <v>42843</v>
      </c>
      <c r="B831" s="28">
        <v>32.952266999999999</v>
      </c>
      <c r="C831" s="28">
        <f t="shared" si="21"/>
        <v>-4.4519836909968549E-3</v>
      </c>
      <c r="D831" s="31">
        <v>2342.19</v>
      </c>
      <c r="E831" s="28">
        <f t="shared" si="21"/>
        <v>-2.9075736718455298E-3</v>
      </c>
    </row>
    <row r="832" spans="1:5">
      <c r="A832" s="30">
        <v>42844</v>
      </c>
      <c r="B832" s="28">
        <v>32.830920999999996</v>
      </c>
      <c r="C832" s="28">
        <f t="shared" si="21"/>
        <v>-3.689275066272233E-3</v>
      </c>
      <c r="D832" s="31">
        <v>2338.17</v>
      </c>
      <c r="E832" s="28">
        <f t="shared" si="21"/>
        <v>-1.7178170006366042E-3</v>
      </c>
    </row>
    <row r="833" spans="1:5">
      <c r="A833" s="30">
        <v>42845</v>
      </c>
      <c r="B833" s="28">
        <v>33.241664999999998</v>
      </c>
      <c r="C833" s="28">
        <f t="shared" si="21"/>
        <v>1.243327425597057E-2</v>
      </c>
      <c r="D833" s="31">
        <v>2355.84</v>
      </c>
      <c r="E833" s="28">
        <f t="shared" si="21"/>
        <v>7.5287796425385226E-3</v>
      </c>
    </row>
    <row r="834" spans="1:5">
      <c r="A834" s="30">
        <v>42846</v>
      </c>
      <c r="B834" s="28">
        <v>33.201981000000004</v>
      </c>
      <c r="C834" s="28">
        <f t="shared" si="21"/>
        <v>-1.1945161684429263E-3</v>
      </c>
      <c r="D834" s="31">
        <v>2348.69</v>
      </c>
      <c r="E834" s="28">
        <f t="shared" si="21"/>
        <v>-3.039625852145616E-3</v>
      </c>
    </row>
    <row r="835" spans="1:5">
      <c r="A835" s="30">
        <v>42849</v>
      </c>
      <c r="B835" s="28">
        <v>33.521698000000001</v>
      </c>
      <c r="C835" s="28">
        <f t="shared" si="21"/>
        <v>9.5833878384390583E-3</v>
      </c>
      <c r="D835" s="31">
        <v>2374.15</v>
      </c>
      <c r="E835" s="28">
        <f t="shared" si="21"/>
        <v>1.0781752773837281E-2</v>
      </c>
    </row>
    <row r="836" spans="1:5">
      <c r="A836" s="30">
        <v>42850</v>
      </c>
      <c r="B836" s="28">
        <v>33.729407999999999</v>
      </c>
      <c r="C836" s="28">
        <f t="shared" si="21"/>
        <v>6.1771671226423198E-3</v>
      </c>
      <c r="D836" s="31">
        <v>2388.61</v>
      </c>
      <c r="E836" s="28">
        <f t="shared" si="21"/>
        <v>6.0721281060621066E-3</v>
      </c>
    </row>
    <row r="837" spans="1:5">
      <c r="A837" s="30">
        <v>42851</v>
      </c>
      <c r="B837" s="28">
        <v>33.531044000000001</v>
      </c>
      <c r="C837" s="28">
        <f t="shared" ref="C837:E900" si="22">LN(B837/B836)</f>
        <v>-5.898401488851371E-3</v>
      </c>
      <c r="D837" s="31">
        <v>2387.4499999999998</v>
      </c>
      <c r="E837" s="28">
        <f t="shared" si="22"/>
        <v>-4.8575605114247193E-4</v>
      </c>
    </row>
    <row r="838" spans="1:5">
      <c r="A838" s="30">
        <v>42852</v>
      </c>
      <c r="B838" s="28">
        <v>33.556708999999998</v>
      </c>
      <c r="C838" s="28">
        <f t="shared" si="22"/>
        <v>7.6511733078994432E-4</v>
      </c>
      <c r="D838" s="31">
        <v>2388.77</v>
      </c>
      <c r="E838" s="28">
        <f t="shared" si="22"/>
        <v>5.5273837202107399E-4</v>
      </c>
    </row>
    <row r="839" spans="1:5">
      <c r="A839" s="30">
        <v>42853</v>
      </c>
      <c r="B839" s="28">
        <v>33.524036000000002</v>
      </c>
      <c r="C839" s="28">
        <f t="shared" si="22"/>
        <v>-9.7413952643912814E-4</v>
      </c>
      <c r="D839" s="31">
        <v>2384.1999999999998</v>
      </c>
      <c r="E839" s="28">
        <f t="shared" si="22"/>
        <v>-1.9149508153329291E-3</v>
      </c>
    </row>
    <row r="840" spans="1:5">
      <c r="A840" s="30">
        <v>42856</v>
      </c>
      <c r="B840" s="28">
        <v>34.207825</v>
      </c>
      <c r="C840" s="28">
        <f t="shared" si="22"/>
        <v>2.0191744973536298E-2</v>
      </c>
      <c r="D840" s="31">
        <v>2388.33</v>
      </c>
      <c r="E840" s="28">
        <f t="shared" si="22"/>
        <v>1.7307386358750435E-3</v>
      </c>
    </row>
    <row r="841" spans="1:5">
      <c r="A841" s="30">
        <v>42857</v>
      </c>
      <c r="B841" s="28">
        <v>34.424854000000003</v>
      </c>
      <c r="C841" s="28">
        <f t="shared" si="22"/>
        <v>6.3243844347217852E-3</v>
      </c>
      <c r="D841" s="31">
        <v>2391.17</v>
      </c>
      <c r="E841" s="28">
        <f t="shared" si="22"/>
        <v>1.1884089692428136E-3</v>
      </c>
    </row>
    <row r="842" spans="1:5">
      <c r="A842" s="30">
        <v>42858</v>
      </c>
      <c r="B842" s="28">
        <v>34.319847000000003</v>
      </c>
      <c r="C842" s="28">
        <f t="shared" si="22"/>
        <v>-3.0549869340097571E-3</v>
      </c>
      <c r="D842" s="31">
        <v>2388.13</v>
      </c>
      <c r="E842" s="28">
        <f t="shared" si="22"/>
        <v>-1.2721529972957541E-3</v>
      </c>
    </row>
    <row r="843" spans="1:5">
      <c r="A843" s="30">
        <v>42859</v>
      </c>
      <c r="B843" s="28">
        <v>34.196148000000001</v>
      </c>
      <c r="C843" s="28">
        <f t="shared" si="22"/>
        <v>-3.61081042166693E-3</v>
      </c>
      <c r="D843" s="31">
        <v>2389.52</v>
      </c>
      <c r="E843" s="28">
        <f t="shared" si="22"/>
        <v>5.8187604333453274E-4</v>
      </c>
    </row>
    <row r="844" spans="1:5">
      <c r="A844" s="30">
        <v>42860</v>
      </c>
      <c r="B844" s="28">
        <v>34.763252000000001</v>
      </c>
      <c r="C844" s="28">
        <f t="shared" si="22"/>
        <v>1.6447845686197251E-2</v>
      </c>
      <c r="D844" s="31">
        <v>2399.29</v>
      </c>
      <c r="E844" s="28">
        <f t="shared" si="22"/>
        <v>4.0803513003330903E-3</v>
      </c>
    </row>
    <row r="845" spans="1:5">
      <c r="A845" s="30">
        <v>42863</v>
      </c>
      <c r="B845" s="28">
        <v>35.708407999999999</v>
      </c>
      <c r="C845" s="28">
        <f t="shared" si="22"/>
        <v>2.6825327430420477E-2</v>
      </c>
      <c r="D845" s="31">
        <v>2399.38</v>
      </c>
      <c r="E845" s="28">
        <f t="shared" si="22"/>
        <v>3.7510393509375765E-5</v>
      </c>
    </row>
    <row r="846" spans="1:5">
      <c r="A846" s="30">
        <v>42864</v>
      </c>
      <c r="B846" s="28">
        <v>35.937111000000002</v>
      </c>
      <c r="C846" s="28">
        <f t="shared" si="22"/>
        <v>6.3843148883422985E-3</v>
      </c>
      <c r="D846" s="31">
        <v>2396.92</v>
      </c>
      <c r="E846" s="28">
        <f t="shared" si="22"/>
        <v>-1.0257908036239289E-3</v>
      </c>
    </row>
    <row r="847" spans="1:5">
      <c r="A847" s="30">
        <v>42865</v>
      </c>
      <c r="B847" s="28">
        <v>35.766750000000002</v>
      </c>
      <c r="C847" s="28">
        <f t="shared" si="22"/>
        <v>-4.7518032692075284E-3</v>
      </c>
      <c r="D847" s="31">
        <v>2399.63</v>
      </c>
      <c r="E847" s="28">
        <f t="shared" si="22"/>
        <v>1.1299789591918902E-3</v>
      </c>
    </row>
    <row r="848" spans="1:5">
      <c r="A848" s="30">
        <v>42866</v>
      </c>
      <c r="B848" s="28">
        <v>36.076076999999998</v>
      </c>
      <c r="C848" s="28">
        <f t="shared" si="22"/>
        <v>8.6112678022012903E-3</v>
      </c>
      <c r="D848" s="31">
        <v>2394.44</v>
      </c>
      <c r="E848" s="28">
        <f t="shared" si="22"/>
        <v>-2.1651757390083516E-3</v>
      </c>
    </row>
    <row r="849" spans="1:5">
      <c r="A849" s="30">
        <v>42867</v>
      </c>
      <c r="B849" s="28">
        <v>36.579898999999997</v>
      </c>
      <c r="C849" s="28">
        <f t="shared" si="22"/>
        <v>1.3868923203130754E-2</v>
      </c>
      <c r="D849" s="31">
        <v>2390.9</v>
      </c>
      <c r="E849" s="28">
        <f t="shared" si="22"/>
        <v>-1.4795189665720563E-3</v>
      </c>
    </row>
    <row r="850" spans="1:5">
      <c r="A850" s="30">
        <v>42870</v>
      </c>
      <c r="B850" s="28">
        <v>36.486159999999998</v>
      </c>
      <c r="C850" s="28">
        <f t="shared" si="22"/>
        <v>-2.5658712872163964E-3</v>
      </c>
      <c r="D850" s="31">
        <v>2402.3200000000002</v>
      </c>
      <c r="E850" s="28">
        <f t="shared" si="22"/>
        <v>4.7650730024741666E-3</v>
      </c>
    </row>
    <row r="851" spans="1:5">
      <c r="A851" s="30">
        <v>42871</v>
      </c>
      <c r="B851" s="28">
        <v>36.432274</v>
      </c>
      <c r="C851" s="28">
        <f t="shared" si="22"/>
        <v>-1.4779804461836164E-3</v>
      </c>
      <c r="D851" s="31">
        <v>2400.67</v>
      </c>
      <c r="E851" s="28">
        <f t="shared" si="22"/>
        <v>-6.8707203842168071E-4</v>
      </c>
    </row>
    <row r="852" spans="1:5">
      <c r="A852" s="30">
        <v>42872</v>
      </c>
      <c r="B852" s="28">
        <v>35.209038</v>
      </c>
      <c r="C852" s="28">
        <f t="shared" si="22"/>
        <v>-3.4152219143753826E-2</v>
      </c>
      <c r="D852" s="31">
        <v>2357.0300000000002</v>
      </c>
      <c r="E852" s="28">
        <f t="shared" si="22"/>
        <v>-1.8345513143686251E-2</v>
      </c>
    </row>
    <row r="853" spans="1:5">
      <c r="A853" s="30">
        <v>42873</v>
      </c>
      <c r="B853" s="28">
        <v>35.745651000000002</v>
      </c>
      <c r="C853" s="28">
        <f t="shared" si="22"/>
        <v>1.5125800380232262E-2</v>
      </c>
      <c r="D853" s="31">
        <v>2365.7199999999998</v>
      </c>
      <c r="E853" s="28">
        <f t="shared" si="22"/>
        <v>3.6800634407031319E-3</v>
      </c>
    </row>
    <row r="854" spans="1:5">
      <c r="A854" s="30">
        <v>42874</v>
      </c>
      <c r="B854" s="28">
        <v>35.867519000000001</v>
      </c>
      <c r="C854" s="28">
        <f t="shared" si="22"/>
        <v>3.4035113273745031E-3</v>
      </c>
      <c r="D854" s="31">
        <v>2381.73</v>
      </c>
      <c r="E854" s="28">
        <f t="shared" si="22"/>
        <v>6.744699024732498E-3</v>
      </c>
    </row>
    <row r="855" spans="1:5">
      <c r="A855" s="30">
        <v>42877</v>
      </c>
      <c r="B855" s="28">
        <v>36.085456999999998</v>
      </c>
      <c r="C855" s="28">
        <f t="shared" si="22"/>
        <v>6.0578082683584635E-3</v>
      </c>
      <c r="D855" s="31">
        <v>2394.02</v>
      </c>
      <c r="E855" s="28">
        <f t="shared" si="22"/>
        <v>5.14684693721281E-3</v>
      </c>
    </row>
    <row r="856" spans="1:5">
      <c r="A856" s="30">
        <v>42878</v>
      </c>
      <c r="B856" s="28">
        <v>36.040931999999998</v>
      </c>
      <c r="C856" s="28">
        <f t="shared" si="22"/>
        <v>-1.2346384249433341E-3</v>
      </c>
      <c r="D856" s="31">
        <v>2398.42</v>
      </c>
      <c r="E856" s="28">
        <f t="shared" si="22"/>
        <v>1.8362259042573701E-3</v>
      </c>
    </row>
    <row r="857" spans="1:5">
      <c r="A857" s="30">
        <v>42879</v>
      </c>
      <c r="B857" s="28">
        <v>35.933132000000001</v>
      </c>
      <c r="C857" s="28">
        <f t="shared" si="22"/>
        <v>-2.9955257385216672E-3</v>
      </c>
      <c r="D857" s="31">
        <v>2404.39</v>
      </c>
      <c r="E857" s="28">
        <f t="shared" si="22"/>
        <v>2.4860459084413127E-3</v>
      </c>
    </row>
    <row r="858" spans="1:5">
      <c r="A858" s="30">
        <v>42880</v>
      </c>
      <c r="B858" s="28">
        <v>36.057322999999997</v>
      </c>
      <c r="C858" s="28">
        <f t="shared" si="22"/>
        <v>3.4502108146691472E-3</v>
      </c>
      <c r="D858" s="31">
        <v>2415.0700000000002</v>
      </c>
      <c r="E858" s="28">
        <f t="shared" si="22"/>
        <v>4.4320390592464875E-3</v>
      </c>
    </row>
    <row r="859" spans="1:5">
      <c r="A859" s="30">
        <v>42881</v>
      </c>
      <c r="B859" s="28">
        <v>35.996398999999997</v>
      </c>
      <c r="C859" s="28">
        <f t="shared" si="22"/>
        <v>-1.6910719620791086E-3</v>
      </c>
      <c r="D859" s="31">
        <v>2415.8200000000002</v>
      </c>
      <c r="E859" s="28">
        <f t="shared" si="22"/>
        <v>3.1050179408999626E-4</v>
      </c>
    </row>
    <row r="860" spans="1:5">
      <c r="A860" s="30">
        <v>42885</v>
      </c>
      <c r="B860" s="28">
        <v>36.010455999999998</v>
      </c>
      <c r="C860" s="28">
        <f t="shared" si="22"/>
        <v>3.904350545117159E-4</v>
      </c>
      <c r="D860" s="31">
        <v>2412.91</v>
      </c>
      <c r="E860" s="28">
        <f t="shared" si="22"/>
        <v>-1.205286007825416E-3</v>
      </c>
    </row>
    <row r="861" spans="1:5">
      <c r="A861" s="30">
        <v>42886</v>
      </c>
      <c r="B861" s="28">
        <v>35.797226000000002</v>
      </c>
      <c r="C861" s="28">
        <f t="shared" si="22"/>
        <v>-5.9389363587947462E-3</v>
      </c>
      <c r="D861" s="31">
        <v>2411.8000000000002</v>
      </c>
      <c r="E861" s="28">
        <f t="shared" si="22"/>
        <v>-4.6013129062012688E-4</v>
      </c>
    </row>
    <row r="862" spans="1:5">
      <c r="A862" s="30">
        <v>42887</v>
      </c>
      <c r="B862" s="28">
        <v>35.895634000000001</v>
      </c>
      <c r="C862" s="28">
        <f t="shared" si="22"/>
        <v>2.7452681286335226E-3</v>
      </c>
      <c r="D862" s="31">
        <v>2430.06</v>
      </c>
      <c r="E862" s="28">
        <f t="shared" si="22"/>
        <v>7.5425917183000596E-3</v>
      </c>
    </row>
    <row r="863" spans="1:5">
      <c r="A863" s="30">
        <v>42888</v>
      </c>
      <c r="B863" s="28">
        <v>36.427577999999997</v>
      </c>
      <c r="C863" s="28">
        <f t="shared" si="22"/>
        <v>1.471045264345738E-2</v>
      </c>
      <c r="D863" s="31">
        <v>2439.0700000000002</v>
      </c>
      <c r="E863" s="28">
        <f t="shared" si="22"/>
        <v>3.7008707032855424E-3</v>
      </c>
    </row>
    <row r="864" spans="1:5">
      <c r="A864" s="30">
        <v>42891</v>
      </c>
      <c r="B864" s="28">
        <v>36.071387999999999</v>
      </c>
      <c r="C864" s="28">
        <f t="shared" si="22"/>
        <v>-9.8261502360348484E-3</v>
      </c>
      <c r="D864" s="31">
        <v>2436.1</v>
      </c>
      <c r="E864" s="28">
        <f t="shared" si="22"/>
        <v>-1.2184192007356274E-3</v>
      </c>
    </row>
    <row r="865" spans="1:5">
      <c r="A865" s="30">
        <v>42892</v>
      </c>
      <c r="B865" s="28">
        <v>36.193237000000003</v>
      </c>
      <c r="C865" s="28">
        <f t="shared" si="22"/>
        <v>3.3723032666835018E-3</v>
      </c>
      <c r="D865" s="31">
        <v>2429.33</v>
      </c>
      <c r="E865" s="28">
        <f t="shared" si="22"/>
        <v>-2.7829007381501205E-3</v>
      </c>
    </row>
    <row r="866" spans="1:5">
      <c r="A866" s="30">
        <v>42893</v>
      </c>
      <c r="B866" s="28">
        <v>36.408833000000001</v>
      </c>
      <c r="C866" s="28">
        <f t="shared" si="22"/>
        <v>5.9391318658342804E-3</v>
      </c>
      <c r="D866" s="31">
        <v>2433.14</v>
      </c>
      <c r="E866" s="28">
        <f t="shared" si="22"/>
        <v>1.5671051049044751E-3</v>
      </c>
    </row>
    <row r="867" spans="1:5">
      <c r="A867" s="30">
        <v>42894</v>
      </c>
      <c r="B867" s="28">
        <v>36.319794000000002</v>
      </c>
      <c r="C867" s="28">
        <f t="shared" si="22"/>
        <v>-2.4485281286706832E-3</v>
      </c>
      <c r="D867" s="31">
        <v>2433.79</v>
      </c>
      <c r="E867" s="28">
        <f t="shared" si="22"/>
        <v>2.6710883611008482E-4</v>
      </c>
    </row>
    <row r="868" spans="1:5">
      <c r="A868" s="30">
        <v>42895</v>
      </c>
      <c r="B868" s="28">
        <v>34.911422999999999</v>
      </c>
      <c r="C868" s="28">
        <f t="shared" si="22"/>
        <v>-3.9548799665317956E-2</v>
      </c>
      <c r="D868" s="31">
        <v>2431.77</v>
      </c>
      <c r="E868" s="28">
        <f t="shared" si="22"/>
        <v>-8.3032584781852277E-4</v>
      </c>
    </row>
    <row r="869" spans="1:5">
      <c r="A869" s="30">
        <v>42898</v>
      </c>
      <c r="B869" s="28">
        <v>34.077179000000001</v>
      </c>
      <c r="C869" s="28">
        <f t="shared" si="22"/>
        <v>-2.4186159532111173E-2</v>
      </c>
      <c r="D869" s="31">
        <v>2429.39</v>
      </c>
      <c r="E869" s="28">
        <f t="shared" si="22"/>
        <v>-9.7919023038320948E-4</v>
      </c>
    </row>
    <row r="870" spans="1:5">
      <c r="A870" s="30">
        <v>42899</v>
      </c>
      <c r="B870" s="28">
        <v>34.351353000000003</v>
      </c>
      <c r="C870" s="28">
        <f t="shared" si="22"/>
        <v>8.0134838255228151E-3</v>
      </c>
      <c r="D870" s="31">
        <v>2440.35</v>
      </c>
      <c r="E870" s="28">
        <f t="shared" si="22"/>
        <v>4.501274608283941E-3</v>
      </c>
    </row>
    <row r="871" spans="1:5">
      <c r="A871" s="30">
        <v>42900</v>
      </c>
      <c r="B871" s="28">
        <v>34.016266000000002</v>
      </c>
      <c r="C871" s="28">
        <f t="shared" si="22"/>
        <v>-9.8025845604891113E-3</v>
      </c>
      <c r="D871" s="31">
        <v>2437.92</v>
      </c>
      <c r="E871" s="28">
        <f t="shared" si="22"/>
        <v>-9.962549022444363E-4</v>
      </c>
    </row>
    <row r="872" spans="1:5">
      <c r="A872" s="30">
        <v>42901</v>
      </c>
      <c r="B872" s="28">
        <v>33.812385999999996</v>
      </c>
      <c r="C872" s="28">
        <f t="shared" si="22"/>
        <v>-6.011636911624622E-3</v>
      </c>
      <c r="D872" s="31">
        <v>2432.46</v>
      </c>
      <c r="E872" s="28">
        <f t="shared" si="22"/>
        <v>-2.2421257837553104E-3</v>
      </c>
    </row>
    <row r="873" spans="1:5">
      <c r="A873" s="30">
        <v>42902</v>
      </c>
      <c r="B873" s="28">
        <v>33.339024000000002</v>
      </c>
      <c r="C873" s="28">
        <f t="shared" si="22"/>
        <v>-1.4098582317839755E-2</v>
      </c>
      <c r="D873" s="31">
        <v>2433.15</v>
      </c>
      <c r="E873" s="28">
        <f t="shared" si="22"/>
        <v>2.8362322694394307E-4</v>
      </c>
    </row>
    <row r="874" spans="1:5">
      <c r="A874" s="30">
        <v>42905</v>
      </c>
      <c r="B874" s="28">
        <v>34.292774000000001</v>
      </c>
      <c r="C874" s="28">
        <f t="shared" si="22"/>
        <v>2.8206058674819116E-2</v>
      </c>
      <c r="D874" s="31">
        <v>2453.46</v>
      </c>
      <c r="E874" s="28">
        <f t="shared" si="22"/>
        <v>8.3125589925565676E-3</v>
      </c>
    </row>
    <row r="875" spans="1:5">
      <c r="A875" s="30">
        <v>42906</v>
      </c>
      <c r="B875" s="28">
        <v>33.981102</v>
      </c>
      <c r="C875" s="28">
        <f t="shared" si="22"/>
        <v>-9.1301148642109406E-3</v>
      </c>
      <c r="D875" s="31">
        <v>2437.0300000000002</v>
      </c>
      <c r="E875" s="28">
        <f t="shared" si="22"/>
        <v>-6.7191883898731087E-3</v>
      </c>
    </row>
    <row r="876" spans="1:5">
      <c r="A876" s="30">
        <v>42907</v>
      </c>
      <c r="B876" s="28">
        <v>34.182644000000003</v>
      </c>
      <c r="C876" s="28">
        <f t="shared" si="22"/>
        <v>5.9134833145651359E-3</v>
      </c>
      <c r="D876" s="31">
        <v>2435.61</v>
      </c>
      <c r="E876" s="28">
        <f t="shared" si="22"/>
        <v>-5.8284627643293246E-4</v>
      </c>
    </row>
    <row r="877" spans="1:5">
      <c r="A877" s="30">
        <v>42908</v>
      </c>
      <c r="B877" s="28">
        <v>34.126392000000003</v>
      </c>
      <c r="C877" s="28">
        <f t="shared" si="22"/>
        <v>-1.6469859921779337E-3</v>
      </c>
      <c r="D877" s="31">
        <v>2434.5</v>
      </c>
      <c r="E877" s="28">
        <f t="shared" si="22"/>
        <v>-4.5584186772818001E-4</v>
      </c>
    </row>
    <row r="878" spans="1:5">
      <c r="A878" s="30">
        <v>42909</v>
      </c>
      <c r="B878" s="28">
        <v>34.278720999999997</v>
      </c>
      <c r="C878" s="28">
        <f t="shared" si="22"/>
        <v>4.4537387664885858E-3</v>
      </c>
      <c r="D878" s="31">
        <v>2438.3000000000002</v>
      </c>
      <c r="E878" s="28">
        <f t="shared" si="22"/>
        <v>1.5596785299304831E-3</v>
      </c>
    </row>
    <row r="879" spans="1:5">
      <c r="A879" s="30">
        <v>42912</v>
      </c>
      <c r="B879" s="28">
        <v>34.170929000000001</v>
      </c>
      <c r="C879" s="28">
        <f t="shared" si="22"/>
        <v>-3.1495292993859651E-3</v>
      </c>
      <c r="D879" s="31">
        <v>2439.0700000000002</v>
      </c>
      <c r="E879" s="28">
        <f t="shared" si="22"/>
        <v>3.157439383918202E-4</v>
      </c>
    </row>
    <row r="880" spans="1:5">
      <c r="A880" s="30">
        <v>42913</v>
      </c>
      <c r="B880" s="28">
        <v>33.681159999999998</v>
      </c>
      <c r="C880" s="28">
        <f t="shared" si="22"/>
        <v>-1.4436622762832927E-2</v>
      </c>
      <c r="D880" s="31">
        <v>2419.38</v>
      </c>
      <c r="E880" s="28">
        <f t="shared" si="22"/>
        <v>-8.1055101118562012E-3</v>
      </c>
    </row>
    <row r="881" spans="1:5">
      <c r="A881" s="30">
        <v>42914</v>
      </c>
      <c r="B881" s="28">
        <v>34.173274999999997</v>
      </c>
      <c r="C881" s="28">
        <f t="shared" si="22"/>
        <v>1.4505275256054356E-2</v>
      </c>
      <c r="D881" s="31">
        <v>2440.69</v>
      </c>
      <c r="E881" s="28">
        <f t="shared" si="22"/>
        <v>8.7694772165970627E-3</v>
      </c>
    </row>
    <row r="882" spans="1:5">
      <c r="A882" s="30">
        <v>42915</v>
      </c>
      <c r="B882" s="28">
        <v>33.669437000000002</v>
      </c>
      <c r="C882" s="28">
        <f t="shared" si="22"/>
        <v>-1.485339392583794E-2</v>
      </c>
      <c r="D882" s="31">
        <v>2419.6999999999998</v>
      </c>
      <c r="E882" s="28">
        <f t="shared" si="22"/>
        <v>-8.6372206717718336E-3</v>
      </c>
    </row>
    <row r="883" spans="1:5">
      <c r="A883" s="30">
        <v>42916</v>
      </c>
      <c r="B883" s="28">
        <v>33.749122999999997</v>
      </c>
      <c r="C883" s="28">
        <f t="shared" si="22"/>
        <v>2.3639198792700842E-3</v>
      </c>
      <c r="D883" s="31">
        <v>2423.41</v>
      </c>
      <c r="E883" s="28">
        <f t="shared" si="22"/>
        <v>1.532073698797482E-3</v>
      </c>
    </row>
    <row r="884" spans="1:5">
      <c r="A884" s="30">
        <v>42919</v>
      </c>
      <c r="B884" s="28">
        <v>33.627270000000003</v>
      </c>
      <c r="C884" s="28">
        <f t="shared" si="22"/>
        <v>-3.6170868586990002E-3</v>
      </c>
      <c r="D884" s="31">
        <v>2429.0100000000002</v>
      </c>
      <c r="E884" s="28">
        <f t="shared" si="22"/>
        <v>2.3081276913972876E-3</v>
      </c>
    </row>
    <row r="885" spans="1:5">
      <c r="A885" s="30">
        <v>42921</v>
      </c>
      <c r="B885" s="28">
        <v>33.765514000000003</v>
      </c>
      <c r="C885" s="28">
        <f t="shared" si="22"/>
        <v>4.1026408378172794E-3</v>
      </c>
      <c r="D885" s="31">
        <v>2432.54</v>
      </c>
      <c r="E885" s="28">
        <f t="shared" si="22"/>
        <v>1.4522119983846045E-3</v>
      </c>
    </row>
    <row r="886" spans="1:5">
      <c r="A886" s="30">
        <v>42922</v>
      </c>
      <c r="B886" s="28">
        <v>33.446835</v>
      </c>
      <c r="C886" s="28">
        <f t="shared" si="22"/>
        <v>-9.4828225113385393E-3</v>
      </c>
      <c r="D886" s="31">
        <v>2409.75</v>
      </c>
      <c r="E886" s="28">
        <f t="shared" si="22"/>
        <v>-9.4129712485487432E-3</v>
      </c>
    </row>
    <row r="887" spans="1:5">
      <c r="A887" s="30">
        <v>42923</v>
      </c>
      <c r="B887" s="28">
        <v>33.786602000000002</v>
      </c>
      <c r="C887" s="28">
        <f t="shared" si="22"/>
        <v>1.0107170109422014E-2</v>
      </c>
      <c r="D887" s="31">
        <v>2425.1799999999998</v>
      </c>
      <c r="E887" s="28">
        <f t="shared" si="22"/>
        <v>6.3827407569568501E-3</v>
      </c>
    </row>
    <row r="888" spans="1:5">
      <c r="A888" s="30">
        <v>42926</v>
      </c>
      <c r="B888" s="28">
        <v>33.992820999999999</v>
      </c>
      <c r="C888" s="28">
        <f t="shared" si="22"/>
        <v>6.0850218897248211E-3</v>
      </c>
      <c r="D888" s="31">
        <v>2427.4299999999998</v>
      </c>
      <c r="E888" s="28">
        <f t="shared" si="22"/>
        <v>9.2733607738550183E-4</v>
      </c>
    </row>
    <row r="889" spans="1:5">
      <c r="A889" s="30">
        <v>42927</v>
      </c>
      <c r="B889" s="28">
        <v>34.102969999999999</v>
      </c>
      <c r="C889" s="28">
        <f t="shared" si="22"/>
        <v>3.2351220083016324E-3</v>
      </c>
      <c r="D889" s="31">
        <v>2425.5300000000002</v>
      </c>
      <c r="E889" s="28">
        <f t="shared" si="22"/>
        <v>-7.8302730584169154E-4</v>
      </c>
    </row>
    <row r="890" spans="1:5">
      <c r="A890" s="30">
        <v>42928</v>
      </c>
      <c r="B890" s="28">
        <v>34.152175999999997</v>
      </c>
      <c r="C890" s="28">
        <f t="shared" si="22"/>
        <v>1.4418256031382012E-3</v>
      </c>
      <c r="D890" s="31">
        <v>2443.25</v>
      </c>
      <c r="E890" s="28">
        <f t="shared" si="22"/>
        <v>7.2790630263669361E-3</v>
      </c>
    </row>
    <row r="891" spans="1:5">
      <c r="A891" s="30">
        <v>42929</v>
      </c>
      <c r="B891" s="28">
        <v>34.627887999999999</v>
      </c>
      <c r="C891" s="28">
        <f t="shared" si="22"/>
        <v>1.3833066097392783E-2</v>
      </c>
      <c r="D891" s="31">
        <v>2447.83</v>
      </c>
      <c r="E891" s="28">
        <f t="shared" si="22"/>
        <v>1.8727975574500866E-3</v>
      </c>
    </row>
    <row r="892" spans="1:5">
      <c r="A892" s="30">
        <v>42930</v>
      </c>
      <c r="B892" s="28">
        <v>34.92548</v>
      </c>
      <c r="C892" s="28">
        <f t="shared" si="22"/>
        <v>8.5572798136679274E-3</v>
      </c>
      <c r="D892" s="31">
        <v>2459.27</v>
      </c>
      <c r="E892" s="28">
        <f t="shared" si="22"/>
        <v>4.6626401441430309E-3</v>
      </c>
    </row>
    <row r="893" spans="1:5">
      <c r="A893" s="30">
        <v>42933</v>
      </c>
      <c r="B893" s="28">
        <v>35.047344000000002</v>
      </c>
      <c r="C893" s="28">
        <f t="shared" si="22"/>
        <v>3.4831843634122828E-3</v>
      </c>
      <c r="D893" s="31">
        <v>2459.14</v>
      </c>
      <c r="E893" s="28">
        <f t="shared" si="22"/>
        <v>-5.2862612116695394E-5</v>
      </c>
    </row>
    <row r="894" spans="1:5">
      <c r="A894" s="30">
        <v>42934</v>
      </c>
      <c r="B894" s="28">
        <v>35.169193</v>
      </c>
      <c r="C894" s="28">
        <f t="shared" si="22"/>
        <v>3.4706673817112075E-3</v>
      </c>
      <c r="D894" s="31">
        <v>2460.61</v>
      </c>
      <c r="E894" s="28">
        <f t="shared" si="22"/>
        <v>5.9759135880759124E-4</v>
      </c>
    </row>
    <row r="895" spans="1:5">
      <c r="A895" s="30">
        <v>42935</v>
      </c>
      <c r="B895" s="28">
        <v>35.389465000000001</v>
      </c>
      <c r="C895" s="28">
        <f t="shared" si="22"/>
        <v>6.2436764480576683E-3</v>
      </c>
      <c r="D895" s="31">
        <v>2473.83</v>
      </c>
      <c r="E895" s="28">
        <f t="shared" si="22"/>
        <v>5.3582702920709109E-3</v>
      </c>
    </row>
    <row r="896" spans="1:5">
      <c r="A896" s="30">
        <v>42936</v>
      </c>
      <c r="B896" s="28">
        <v>35.230125000000001</v>
      </c>
      <c r="C896" s="28">
        <f t="shared" si="22"/>
        <v>-4.512636519084995E-3</v>
      </c>
      <c r="D896" s="31">
        <v>2473.4499999999998</v>
      </c>
      <c r="E896" s="28">
        <f t="shared" si="22"/>
        <v>-1.5361976712352472E-4</v>
      </c>
    </row>
    <row r="897" spans="1:5">
      <c r="A897" s="30">
        <v>42937</v>
      </c>
      <c r="B897" s="28">
        <v>35.213721999999997</v>
      </c>
      <c r="C897" s="28">
        <f t="shared" si="22"/>
        <v>-4.6570427354607387E-4</v>
      </c>
      <c r="D897" s="31">
        <v>2472.54</v>
      </c>
      <c r="E897" s="28">
        <f t="shared" si="22"/>
        <v>-3.6797486863832021E-4</v>
      </c>
    </row>
    <row r="898" spans="1:5">
      <c r="A898" s="30">
        <v>42940</v>
      </c>
      <c r="B898" s="28">
        <v>35.640205000000002</v>
      </c>
      <c r="C898" s="28">
        <f t="shared" si="22"/>
        <v>1.2038518364441397E-2</v>
      </c>
      <c r="D898" s="31">
        <v>2469.91</v>
      </c>
      <c r="E898" s="28">
        <f t="shared" si="22"/>
        <v>-1.0642496123316407E-3</v>
      </c>
    </row>
    <row r="899" spans="1:5">
      <c r="A899" s="30">
        <v>42941</v>
      </c>
      <c r="B899" s="28">
        <v>35.792521999999998</v>
      </c>
      <c r="C899" s="28">
        <f t="shared" si="22"/>
        <v>4.2646343559132145E-3</v>
      </c>
      <c r="D899" s="31">
        <v>2477.13</v>
      </c>
      <c r="E899" s="28">
        <f t="shared" si="22"/>
        <v>2.9189192431246041E-3</v>
      </c>
    </row>
    <row r="900" spans="1:5">
      <c r="A900" s="30">
        <v>42942</v>
      </c>
      <c r="B900" s="28">
        <v>35.961243000000003</v>
      </c>
      <c r="C900" s="28">
        <f t="shared" si="22"/>
        <v>4.7027862846078629E-3</v>
      </c>
      <c r="D900" s="31">
        <v>2477.83</v>
      </c>
      <c r="E900" s="28">
        <f t="shared" si="22"/>
        <v>2.8254516874271819E-4</v>
      </c>
    </row>
    <row r="901" spans="1:5">
      <c r="A901" s="30">
        <v>42943</v>
      </c>
      <c r="B901" s="28">
        <v>35.281672999999998</v>
      </c>
      <c r="C901" s="28">
        <f t="shared" ref="C901:E964" si="23">LN(B901/B900)</f>
        <v>-1.9078124541484026E-2</v>
      </c>
      <c r="D901" s="31">
        <v>2475.42</v>
      </c>
      <c r="E901" s="28">
        <f t="shared" si="23"/>
        <v>-9.7309854748828207E-4</v>
      </c>
    </row>
    <row r="902" spans="1:5">
      <c r="A902" s="30">
        <v>42944</v>
      </c>
      <c r="B902" s="28">
        <v>35.033271999999997</v>
      </c>
      <c r="C902" s="28">
        <f t="shared" si="23"/>
        <v>-7.0654121495312434E-3</v>
      </c>
      <c r="D902" s="31">
        <v>2472.1</v>
      </c>
      <c r="E902" s="28">
        <f t="shared" si="23"/>
        <v>-1.3420867417742238E-3</v>
      </c>
    </row>
    <row r="903" spans="1:5">
      <c r="A903" s="30">
        <v>42947</v>
      </c>
      <c r="B903" s="28">
        <v>34.852837000000001</v>
      </c>
      <c r="C903" s="28">
        <f t="shared" si="23"/>
        <v>-5.1636985805898709E-3</v>
      </c>
      <c r="D903" s="31">
        <v>2470.3000000000002</v>
      </c>
      <c r="E903" s="28">
        <f t="shared" si="23"/>
        <v>-7.2839109727374364E-4</v>
      </c>
    </row>
    <row r="904" spans="1:5">
      <c r="A904" s="30">
        <v>42948</v>
      </c>
      <c r="B904" s="28">
        <v>35.162166999999997</v>
      </c>
      <c r="C904" s="28">
        <f t="shared" si="23"/>
        <v>8.8361635356761278E-3</v>
      </c>
      <c r="D904" s="31">
        <v>2476.35</v>
      </c>
      <c r="E904" s="28">
        <f t="shared" si="23"/>
        <v>2.4461011054493871E-3</v>
      </c>
    </row>
    <row r="905" spans="1:5">
      <c r="A905" s="30">
        <v>42949</v>
      </c>
      <c r="B905" s="28">
        <v>36.823611999999997</v>
      </c>
      <c r="C905" s="28">
        <f t="shared" si="23"/>
        <v>4.6168566398125582E-2</v>
      </c>
      <c r="D905" s="31">
        <v>2477.5700000000002</v>
      </c>
      <c r="E905" s="28">
        <f t="shared" si="23"/>
        <v>4.9253925160855719E-4</v>
      </c>
    </row>
    <row r="906" spans="1:5">
      <c r="A906" s="30">
        <v>42950</v>
      </c>
      <c r="B906" s="28">
        <v>36.455703999999997</v>
      </c>
      <c r="C906" s="28">
        <f t="shared" si="23"/>
        <v>-1.0041335301032808E-2</v>
      </c>
      <c r="D906" s="31">
        <v>2472.16</v>
      </c>
      <c r="E906" s="28">
        <f t="shared" si="23"/>
        <v>-2.1859786914876496E-3</v>
      </c>
    </row>
    <row r="907" spans="1:5">
      <c r="A907" s="30">
        <v>42951</v>
      </c>
      <c r="B907" s="28">
        <v>36.647854000000002</v>
      </c>
      <c r="C907" s="28">
        <f t="shared" si="23"/>
        <v>5.2569381783476882E-3</v>
      </c>
      <c r="D907" s="31">
        <v>2476.83</v>
      </c>
      <c r="E907" s="28">
        <f t="shared" si="23"/>
        <v>1.887254323046072E-3</v>
      </c>
    </row>
    <row r="908" spans="1:5">
      <c r="A908" s="30">
        <v>42954</v>
      </c>
      <c r="B908" s="28">
        <v>37.214950999999999</v>
      </c>
      <c r="C908" s="28">
        <f t="shared" si="23"/>
        <v>1.5355716407439065E-2</v>
      </c>
      <c r="D908" s="31">
        <v>2480.91</v>
      </c>
      <c r="E908" s="28">
        <f t="shared" si="23"/>
        <v>1.6459116133836385E-3</v>
      </c>
    </row>
    <row r="909" spans="1:5">
      <c r="A909" s="30">
        <v>42955</v>
      </c>
      <c r="B909" s="28">
        <v>37.512549999999997</v>
      </c>
      <c r="C909" s="28">
        <f t="shared" si="23"/>
        <v>7.9649545170112617E-3</v>
      </c>
      <c r="D909" s="31">
        <v>2474.92</v>
      </c>
      <c r="E909" s="28">
        <f t="shared" si="23"/>
        <v>-2.41735609047731E-3</v>
      </c>
    </row>
    <row r="910" spans="1:5">
      <c r="A910" s="30">
        <v>42956</v>
      </c>
      <c r="B910" s="28">
        <v>37.74221</v>
      </c>
      <c r="C910" s="28">
        <f t="shared" si="23"/>
        <v>6.103553129843107E-3</v>
      </c>
      <c r="D910" s="31">
        <v>2474.02</v>
      </c>
      <c r="E910" s="28">
        <f t="shared" si="23"/>
        <v>-3.6371425392981165E-4</v>
      </c>
    </row>
    <row r="911" spans="1:5">
      <c r="A911" s="30">
        <v>42957</v>
      </c>
      <c r="B911" s="28">
        <v>36.540053999999998</v>
      </c>
      <c r="C911" s="28">
        <f t="shared" si="23"/>
        <v>-3.2370068003196376E-2</v>
      </c>
      <c r="D911" s="31">
        <v>2438.21</v>
      </c>
      <c r="E911" s="28">
        <f t="shared" si="23"/>
        <v>-1.4580194485226952E-2</v>
      </c>
    </row>
    <row r="912" spans="1:5">
      <c r="A912" s="30">
        <v>42958</v>
      </c>
      <c r="B912" s="28">
        <v>37.048206</v>
      </c>
      <c r="C912" s="28">
        <f t="shared" si="23"/>
        <v>1.3810900735846465E-2</v>
      </c>
      <c r="D912" s="31">
        <v>2441.3200000000002</v>
      </c>
      <c r="E912" s="28">
        <f t="shared" si="23"/>
        <v>1.2747131060238811E-3</v>
      </c>
    </row>
    <row r="913" spans="1:5">
      <c r="A913" s="30">
        <v>42961</v>
      </c>
      <c r="B913" s="28">
        <v>37.605766000000003</v>
      </c>
      <c r="C913" s="28">
        <f t="shared" si="23"/>
        <v>1.4937460185479033E-2</v>
      </c>
      <c r="D913" s="31">
        <v>2465.84</v>
      </c>
      <c r="E913" s="28">
        <f t="shared" si="23"/>
        <v>9.9936436037592596E-3</v>
      </c>
    </row>
    <row r="914" spans="1:5">
      <c r="A914" s="30">
        <v>42962</v>
      </c>
      <c r="B914" s="28">
        <v>38.017467000000003</v>
      </c>
      <c r="C914" s="28">
        <f t="shared" si="23"/>
        <v>1.0888322308188243E-2</v>
      </c>
      <c r="D914" s="31">
        <v>2464.61</v>
      </c>
      <c r="E914" s="28">
        <f t="shared" si="23"/>
        <v>-4.9894026935336125E-4</v>
      </c>
    </row>
    <row r="915" spans="1:5">
      <c r="A915" s="30">
        <v>42963</v>
      </c>
      <c r="B915" s="28">
        <v>37.864539999999998</v>
      </c>
      <c r="C915" s="28">
        <f t="shared" si="23"/>
        <v>-4.0306579408268218E-3</v>
      </c>
      <c r="D915" s="31">
        <v>2468.11</v>
      </c>
      <c r="E915" s="28">
        <f t="shared" si="23"/>
        <v>1.4190955851406412E-3</v>
      </c>
    </row>
    <row r="916" spans="1:5">
      <c r="A916" s="30">
        <v>42964</v>
      </c>
      <c r="B916" s="28">
        <v>37.137608</v>
      </c>
      <c r="C916" s="28">
        <f t="shared" si="23"/>
        <v>-1.9384905173723269E-2</v>
      </c>
      <c r="D916" s="31">
        <v>2430.0100000000002</v>
      </c>
      <c r="E916" s="28">
        <f t="shared" si="23"/>
        <v>-1.5557302982010086E-2</v>
      </c>
    </row>
    <row r="917" spans="1:5">
      <c r="A917" s="30">
        <v>42965</v>
      </c>
      <c r="B917" s="28">
        <v>37.052902000000003</v>
      </c>
      <c r="C917" s="28">
        <f t="shared" si="23"/>
        <v>-2.2834736358202795E-3</v>
      </c>
      <c r="D917" s="31">
        <v>2425.5500000000002</v>
      </c>
      <c r="E917" s="28">
        <f t="shared" si="23"/>
        <v>-1.8370697733361559E-3</v>
      </c>
    </row>
    <row r="918" spans="1:5">
      <c r="A918" s="30">
        <v>42968</v>
      </c>
      <c r="B918" s="28">
        <v>36.984684000000001</v>
      </c>
      <c r="C918" s="28">
        <f t="shared" si="23"/>
        <v>-1.8427942614193736E-3</v>
      </c>
      <c r="D918" s="31">
        <v>2428.37</v>
      </c>
      <c r="E918" s="28">
        <f t="shared" si="23"/>
        <v>1.1619475876316547E-3</v>
      </c>
    </row>
    <row r="919" spans="1:5">
      <c r="A919" s="30">
        <v>42969</v>
      </c>
      <c r="B919" s="28">
        <v>37.589294000000002</v>
      </c>
      <c r="C919" s="28">
        <f t="shared" si="23"/>
        <v>1.6215394809857116E-2</v>
      </c>
      <c r="D919" s="31">
        <v>2452.5100000000002</v>
      </c>
      <c r="E919" s="28">
        <f t="shared" si="23"/>
        <v>9.8917395364131917E-3</v>
      </c>
    </row>
    <row r="920" spans="1:5">
      <c r="A920" s="30">
        <v>42970</v>
      </c>
      <c r="B920" s="28">
        <v>37.636330000000001</v>
      </c>
      <c r="C920" s="28">
        <f t="shared" si="23"/>
        <v>1.2505314978760384E-3</v>
      </c>
      <c r="D920" s="31">
        <v>2444.04</v>
      </c>
      <c r="E920" s="28">
        <f t="shared" si="23"/>
        <v>-3.459582133507087E-3</v>
      </c>
    </row>
    <row r="921" spans="1:5">
      <c r="A921" s="30">
        <v>42971</v>
      </c>
      <c r="B921" s="28">
        <v>37.469298999999999</v>
      </c>
      <c r="C921" s="28">
        <f t="shared" si="23"/>
        <v>-4.4479029761174439E-3</v>
      </c>
      <c r="D921" s="31">
        <v>2438.9699999999998</v>
      </c>
      <c r="E921" s="28">
        <f t="shared" si="23"/>
        <v>-2.0765887523938203E-3</v>
      </c>
    </row>
    <row r="922" spans="1:5">
      <c r="A922" s="30">
        <v>42972</v>
      </c>
      <c r="B922" s="28">
        <v>37.60812</v>
      </c>
      <c r="C922" s="28">
        <f t="shared" si="23"/>
        <v>3.6980801965843177E-3</v>
      </c>
      <c r="D922" s="31">
        <v>2443.0500000000002</v>
      </c>
      <c r="E922" s="28">
        <f t="shared" si="23"/>
        <v>1.671439670407706E-3</v>
      </c>
    </row>
    <row r="923" spans="1:5">
      <c r="A923" s="30">
        <v>42975</v>
      </c>
      <c r="B923" s="28">
        <v>37.986877</v>
      </c>
      <c r="C923" s="28">
        <f t="shared" si="23"/>
        <v>1.0020773449600954E-2</v>
      </c>
      <c r="D923" s="31">
        <v>2444.2399999999998</v>
      </c>
      <c r="E923" s="28">
        <f t="shared" si="23"/>
        <v>4.869774552017658E-4</v>
      </c>
    </row>
    <row r="924" spans="1:5">
      <c r="A924" s="30">
        <v>42976</v>
      </c>
      <c r="B924" s="28">
        <v>38.325660999999997</v>
      </c>
      <c r="C924" s="28">
        <f t="shared" si="23"/>
        <v>8.8789138599985641E-3</v>
      </c>
      <c r="D924" s="31">
        <v>2446.3000000000002</v>
      </c>
      <c r="E924" s="28">
        <f t="shared" si="23"/>
        <v>8.4244280665693428E-4</v>
      </c>
    </row>
    <row r="925" spans="1:5">
      <c r="A925" s="30">
        <v>42977</v>
      </c>
      <c r="B925" s="28">
        <v>38.429161000000001</v>
      </c>
      <c r="C925" s="28">
        <f t="shared" si="23"/>
        <v>2.6969005994692094E-3</v>
      </c>
      <c r="D925" s="31">
        <v>2457.59</v>
      </c>
      <c r="E925" s="28">
        <f t="shared" si="23"/>
        <v>4.6045159851196751E-3</v>
      </c>
    </row>
    <row r="926" spans="1:5">
      <c r="A926" s="30">
        <v>42978</v>
      </c>
      <c r="B926" s="28">
        <v>38.582073000000001</v>
      </c>
      <c r="C926" s="28">
        <f t="shared" si="23"/>
        <v>3.9711661016583813E-3</v>
      </c>
      <c r="D926" s="31">
        <v>2471.65</v>
      </c>
      <c r="E926" s="28">
        <f t="shared" si="23"/>
        <v>5.704748858195643E-3</v>
      </c>
    </row>
    <row r="927" spans="1:5">
      <c r="A927" s="30">
        <v>42979</v>
      </c>
      <c r="B927" s="28">
        <v>38.593842000000002</v>
      </c>
      <c r="C927" s="28">
        <f t="shared" si="23"/>
        <v>3.0499152724594309E-4</v>
      </c>
      <c r="D927" s="31">
        <v>2476.5500000000002</v>
      </c>
      <c r="E927" s="28">
        <f t="shared" si="23"/>
        <v>1.9805188155972674E-3</v>
      </c>
    </row>
    <row r="928" spans="1:5">
      <c r="A928" s="30">
        <v>42983</v>
      </c>
      <c r="B928" s="28">
        <v>38.130378999999998</v>
      </c>
      <c r="C928" s="28">
        <f t="shared" si="23"/>
        <v>-1.2081416565061813E-2</v>
      </c>
      <c r="D928" s="31">
        <v>2457.85</v>
      </c>
      <c r="E928" s="28">
        <f t="shared" si="23"/>
        <v>-7.5794785683446272E-3</v>
      </c>
    </row>
    <row r="929" spans="1:5">
      <c r="A929" s="30">
        <v>42984</v>
      </c>
      <c r="B929" s="28">
        <v>38.090389000000002</v>
      </c>
      <c r="C929" s="28">
        <f t="shared" si="23"/>
        <v>-1.0493204075120984E-3</v>
      </c>
      <c r="D929" s="31">
        <v>2465.54</v>
      </c>
      <c r="E929" s="28">
        <f t="shared" si="23"/>
        <v>3.1238663821462308E-3</v>
      </c>
    </row>
    <row r="930" spans="1:5">
      <c r="A930" s="30">
        <v>42985</v>
      </c>
      <c r="B930" s="28">
        <v>37.937469</v>
      </c>
      <c r="C930" s="28">
        <f t="shared" si="23"/>
        <v>-4.0227414066638517E-3</v>
      </c>
      <c r="D930" s="31">
        <v>2465.1</v>
      </c>
      <c r="E930" s="28">
        <f t="shared" si="23"/>
        <v>-1.7847581700066779E-4</v>
      </c>
    </row>
    <row r="931" spans="1:5">
      <c r="A931" s="30">
        <v>42986</v>
      </c>
      <c r="B931" s="28">
        <v>37.318747999999999</v>
      </c>
      <c r="C931" s="28">
        <f t="shared" si="23"/>
        <v>-1.6443423965139085E-2</v>
      </c>
      <c r="D931" s="31">
        <v>2461.4299999999998</v>
      </c>
      <c r="E931" s="28">
        <f t="shared" si="23"/>
        <v>-1.4898927557054817E-3</v>
      </c>
    </row>
    <row r="932" spans="1:5">
      <c r="A932" s="30">
        <v>42989</v>
      </c>
      <c r="B932" s="28">
        <v>37.993931000000003</v>
      </c>
      <c r="C932" s="28">
        <f t="shared" si="23"/>
        <v>1.7930608724184963E-2</v>
      </c>
      <c r="D932" s="31">
        <v>2488.11</v>
      </c>
      <c r="E932" s="28">
        <f t="shared" si="23"/>
        <v>1.0780904250841916E-2</v>
      </c>
    </row>
    <row r="933" spans="1:5">
      <c r="A933" s="30">
        <v>42990</v>
      </c>
      <c r="B933" s="28">
        <v>37.843380000000003</v>
      </c>
      <c r="C933" s="28">
        <f t="shared" si="23"/>
        <v>-3.9703727831812037E-3</v>
      </c>
      <c r="D933" s="31">
        <v>2496.48</v>
      </c>
      <c r="E933" s="28">
        <f t="shared" si="23"/>
        <v>3.3583535924836664E-3</v>
      </c>
    </row>
    <row r="934" spans="1:5">
      <c r="A934" s="30">
        <v>42991</v>
      </c>
      <c r="B934" s="28">
        <v>37.558700999999999</v>
      </c>
      <c r="C934" s="28">
        <f t="shared" si="23"/>
        <v>-7.550994584342577E-3</v>
      </c>
      <c r="D934" s="31">
        <v>2498.37</v>
      </c>
      <c r="E934" s="28">
        <f t="shared" si="23"/>
        <v>7.5677951898545429E-4</v>
      </c>
    </row>
    <row r="935" spans="1:5">
      <c r="A935" s="30">
        <v>42992</v>
      </c>
      <c r="B935" s="28">
        <v>37.236404</v>
      </c>
      <c r="C935" s="28">
        <f t="shared" si="23"/>
        <v>-8.6181841667471067E-3</v>
      </c>
      <c r="D935" s="31">
        <v>2495.62</v>
      </c>
      <c r="E935" s="28">
        <f t="shared" si="23"/>
        <v>-1.1013239025146775E-3</v>
      </c>
    </row>
    <row r="936" spans="1:5">
      <c r="A936" s="30">
        <v>42993</v>
      </c>
      <c r="B936" s="28">
        <v>37.612819999999999</v>
      </c>
      <c r="C936" s="28">
        <f t="shared" si="23"/>
        <v>1.0058064819161043E-2</v>
      </c>
      <c r="D936" s="31">
        <v>2500.23</v>
      </c>
      <c r="E936" s="28">
        <f t="shared" si="23"/>
        <v>1.8455323152087293E-3</v>
      </c>
    </row>
    <row r="937" spans="1:5">
      <c r="A937" s="30">
        <v>42996</v>
      </c>
      <c r="B937" s="28">
        <v>37.328163000000004</v>
      </c>
      <c r="C937" s="28">
        <f t="shared" si="23"/>
        <v>-7.5968677650935503E-3</v>
      </c>
      <c r="D937" s="31">
        <v>2503.87</v>
      </c>
      <c r="E937" s="28">
        <f t="shared" si="23"/>
        <v>1.454807314799407E-3</v>
      </c>
    </row>
    <row r="938" spans="1:5">
      <c r="A938" s="30">
        <v>42997</v>
      </c>
      <c r="B938" s="28">
        <v>37.342274000000003</v>
      </c>
      <c r="C938" s="28">
        <f t="shared" si="23"/>
        <v>3.7795413378858888E-4</v>
      </c>
      <c r="D938" s="31">
        <v>2506.65</v>
      </c>
      <c r="E938" s="28">
        <f t="shared" si="23"/>
        <v>1.1096653781502376E-3</v>
      </c>
    </row>
    <row r="939" spans="1:5">
      <c r="A939" s="30">
        <v>42998</v>
      </c>
      <c r="B939" s="28">
        <v>36.716495999999999</v>
      </c>
      <c r="C939" s="28">
        <f t="shared" si="23"/>
        <v>-1.6899899736122131E-2</v>
      </c>
      <c r="D939" s="31">
        <v>2508.2399999999998</v>
      </c>
      <c r="E939" s="28">
        <f t="shared" si="23"/>
        <v>6.3411163685643339E-4</v>
      </c>
    </row>
    <row r="940" spans="1:5">
      <c r="A940" s="30">
        <v>42999</v>
      </c>
      <c r="B940" s="28">
        <v>36.086002000000001</v>
      </c>
      <c r="C940" s="28">
        <f t="shared" si="23"/>
        <v>-1.7321102453188041E-2</v>
      </c>
      <c r="D940" s="31">
        <v>2500.6</v>
      </c>
      <c r="E940" s="28">
        <f t="shared" si="23"/>
        <v>-3.0506088934585734E-3</v>
      </c>
    </row>
    <row r="941" spans="1:5">
      <c r="A941" s="30">
        <v>43000</v>
      </c>
      <c r="B941" s="28">
        <v>35.73312</v>
      </c>
      <c r="C941" s="28">
        <f t="shared" si="23"/>
        <v>-9.8270441077442042E-3</v>
      </c>
      <c r="D941" s="31">
        <v>2502.2199999999998</v>
      </c>
      <c r="E941" s="28">
        <f t="shared" si="23"/>
        <v>6.4763475664636797E-4</v>
      </c>
    </row>
    <row r="942" spans="1:5">
      <c r="A942" s="30">
        <v>43003</v>
      </c>
      <c r="B942" s="28">
        <v>35.417876999999997</v>
      </c>
      <c r="C942" s="28">
        <f t="shared" si="23"/>
        <v>-8.8612971313750781E-3</v>
      </c>
      <c r="D942" s="31">
        <v>2496.66</v>
      </c>
      <c r="E942" s="28">
        <f t="shared" si="23"/>
        <v>-2.2244992049246771E-3</v>
      </c>
    </row>
    <row r="943" spans="1:5">
      <c r="A943" s="30">
        <v>43004</v>
      </c>
      <c r="B943" s="28">
        <v>36.027183999999998</v>
      </c>
      <c r="C943" s="28">
        <f t="shared" si="23"/>
        <v>1.7057071944122759E-2</v>
      </c>
      <c r="D943" s="31">
        <v>2496.84</v>
      </c>
      <c r="E943" s="28">
        <f t="shared" si="23"/>
        <v>7.2093721869792582E-5</v>
      </c>
    </row>
    <row r="944" spans="1:5">
      <c r="A944" s="30">
        <v>43005</v>
      </c>
      <c r="B944" s="28">
        <v>36.283607000000003</v>
      </c>
      <c r="C944" s="28">
        <f t="shared" si="23"/>
        <v>7.0922768594026946E-3</v>
      </c>
      <c r="D944" s="31">
        <v>2507.04</v>
      </c>
      <c r="E944" s="28">
        <f t="shared" si="23"/>
        <v>4.0768420216074665E-3</v>
      </c>
    </row>
    <row r="945" spans="1:5">
      <c r="A945" s="30">
        <v>43006</v>
      </c>
      <c r="B945" s="28">
        <v>36.060122999999997</v>
      </c>
      <c r="C945" s="28">
        <f t="shared" si="23"/>
        <v>-6.1784127226161608E-3</v>
      </c>
      <c r="D945" s="31">
        <v>2510.06</v>
      </c>
      <c r="E945" s="28">
        <f t="shared" si="23"/>
        <v>1.2038828664962132E-3</v>
      </c>
    </row>
    <row r="946" spans="1:5">
      <c r="A946" s="30">
        <v>43007</v>
      </c>
      <c r="B946" s="28">
        <v>36.257736000000001</v>
      </c>
      <c r="C946" s="28">
        <f t="shared" si="23"/>
        <v>5.4651366781720721E-3</v>
      </c>
      <c r="D946" s="31">
        <v>2519.36</v>
      </c>
      <c r="E946" s="28">
        <f t="shared" si="23"/>
        <v>3.6982437735080622E-3</v>
      </c>
    </row>
    <row r="947" spans="1:5">
      <c r="A947" s="30">
        <v>43010</v>
      </c>
      <c r="B947" s="28">
        <v>36.184821999999997</v>
      </c>
      <c r="C947" s="28">
        <f t="shared" si="23"/>
        <v>-2.013016288631157E-3</v>
      </c>
      <c r="D947" s="31">
        <v>2529.12</v>
      </c>
      <c r="E947" s="28">
        <f t="shared" si="23"/>
        <v>3.8665151329828713E-3</v>
      </c>
    </row>
    <row r="948" spans="1:5">
      <c r="A948" s="30">
        <v>43011</v>
      </c>
      <c r="B948" s="28">
        <v>36.34243</v>
      </c>
      <c r="C948" s="28">
        <f t="shared" si="23"/>
        <v>4.3461800563390843E-3</v>
      </c>
      <c r="D948" s="31">
        <v>2534.58</v>
      </c>
      <c r="E948" s="28">
        <f t="shared" si="23"/>
        <v>2.1565266962995347E-3</v>
      </c>
    </row>
    <row r="949" spans="1:5">
      <c r="A949" s="30">
        <v>43012</v>
      </c>
      <c r="B949" s="28">
        <v>36.107170000000004</v>
      </c>
      <c r="C949" s="28">
        <f t="shared" si="23"/>
        <v>-6.494468620986427E-3</v>
      </c>
      <c r="D949" s="31">
        <v>2537.7399999999998</v>
      </c>
      <c r="E949" s="28">
        <f t="shared" si="23"/>
        <v>1.2459783329185144E-3</v>
      </c>
    </row>
    <row r="950" spans="1:5">
      <c r="A950" s="30">
        <v>43013</v>
      </c>
      <c r="B950" s="28">
        <v>36.556522000000001</v>
      </c>
      <c r="C950" s="28">
        <f t="shared" si="23"/>
        <v>1.2368150193708162E-2</v>
      </c>
      <c r="D950" s="31">
        <v>2552.0700000000002</v>
      </c>
      <c r="E950" s="28">
        <f t="shared" si="23"/>
        <v>5.6308733972806214E-3</v>
      </c>
    </row>
    <row r="951" spans="1:5">
      <c r="A951" s="30">
        <v>43014</v>
      </c>
      <c r="B951" s="28">
        <v>36.535350999999999</v>
      </c>
      <c r="C951" s="28">
        <f t="shared" si="23"/>
        <v>-5.7929834667286924E-4</v>
      </c>
      <c r="D951" s="31">
        <v>2549.33</v>
      </c>
      <c r="E951" s="28">
        <f t="shared" si="23"/>
        <v>-1.0742150246923344E-3</v>
      </c>
    </row>
    <row r="952" spans="1:5">
      <c r="A952" s="30">
        <v>43017</v>
      </c>
      <c r="B952" s="28">
        <v>36.662376000000002</v>
      </c>
      <c r="C952" s="28">
        <f t="shared" si="23"/>
        <v>3.470739672347037E-3</v>
      </c>
      <c r="D952" s="31">
        <v>2544.73</v>
      </c>
      <c r="E952" s="28">
        <f t="shared" si="23"/>
        <v>-1.8060255475314134E-3</v>
      </c>
    </row>
    <row r="953" spans="1:5">
      <c r="A953" s="30">
        <v>43018</v>
      </c>
      <c r="B953" s="28">
        <v>36.676490999999999</v>
      </c>
      <c r="C953" s="28">
        <f t="shared" si="23"/>
        <v>3.8492550407910955E-4</v>
      </c>
      <c r="D953" s="31">
        <v>2550.64</v>
      </c>
      <c r="E953" s="28">
        <f t="shared" si="23"/>
        <v>2.3197540709582955E-3</v>
      </c>
    </row>
    <row r="954" spans="1:5">
      <c r="A954" s="30">
        <v>43019</v>
      </c>
      <c r="B954" s="28">
        <v>36.829417999999997</v>
      </c>
      <c r="C954" s="28">
        <f t="shared" si="23"/>
        <v>4.1609503976568702E-3</v>
      </c>
      <c r="D954" s="31">
        <v>2555.2399999999998</v>
      </c>
      <c r="E954" s="28">
        <f t="shared" si="23"/>
        <v>1.8018446358107835E-3</v>
      </c>
    </row>
    <row r="955" spans="1:5">
      <c r="A955" s="30">
        <v>43020</v>
      </c>
      <c r="B955" s="28">
        <v>36.700020000000002</v>
      </c>
      <c r="C955" s="28">
        <f t="shared" si="23"/>
        <v>-3.5196279775584756E-3</v>
      </c>
      <c r="D955" s="31">
        <v>2550.9299999999998</v>
      </c>
      <c r="E955" s="28">
        <f t="shared" si="23"/>
        <v>-1.6881541443298049E-3</v>
      </c>
    </row>
    <row r="956" spans="1:5">
      <c r="A956" s="30">
        <v>43021</v>
      </c>
      <c r="B956" s="28">
        <v>36.932929999999999</v>
      </c>
      <c r="C956" s="28">
        <f t="shared" si="23"/>
        <v>6.3262649883222034E-3</v>
      </c>
      <c r="D956" s="31">
        <v>2553.17</v>
      </c>
      <c r="E956" s="28">
        <f t="shared" si="23"/>
        <v>8.7772580623768782E-4</v>
      </c>
    </row>
    <row r="957" spans="1:5">
      <c r="A957" s="30">
        <v>43024</v>
      </c>
      <c r="B957" s="28">
        <v>37.612819999999999</v>
      </c>
      <c r="C957" s="28">
        <f t="shared" si="23"/>
        <v>1.8241384722049468E-2</v>
      </c>
      <c r="D957" s="31">
        <v>2557.64</v>
      </c>
      <c r="E957" s="28">
        <f t="shared" si="23"/>
        <v>1.7492339334793062E-3</v>
      </c>
    </row>
    <row r="958" spans="1:5">
      <c r="A958" s="30">
        <v>43025</v>
      </c>
      <c r="B958" s="28">
        <v>37.751621</v>
      </c>
      <c r="C958" s="28">
        <f t="shared" si="23"/>
        <v>3.6834654405962634E-3</v>
      </c>
      <c r="D958" s="31">
        <v>2559.36</v>
      </c>
      <c r="E958" s="28">
        <f t="shared" si="23"/>
        <v>6.7226893288223496E-4</v>
      </c>
    </row>
    <row r="959" spans="1:5">
      <c r="A959" s="30">
        <v>43026</v>
      </c>
      <c r="B959" s="28">
        <v>37.584583000000002</v>
      </c>
      <c r="C959" s="28">
        <f t="shared" si="23"/>
        <v>-4.4344754542578486E-3</v>
      </c>
      <c r="D959" s="31">
        <v>2561.2600000000002</v>
      </c>
      <c r="E959" s="28">
        <f t="shared" si="23"/>
        <v>7.4209767067105596E-4</v>
      </c>
    </row>
    <row r="960" spans="1:5">
      <c r="A960" s="30">
        <v>43027</v>
      </c>
      <c r="B960" s="28">
        <v>36.695320000000002</v>
      </c>
      <c r="C960" s="28">
        <f t="shared" si="23"/>
        <v>-2.3944713223079141E-2</v>
      </c>
      <c r="D960" s="31">
        <v>2562.1</v>
      </c>
      <c r="E960" s="28">
        <f t="shared" si="23"/>
        <v>3.2790981212585998E-4</v>
      </c>
    </row>
    <row r="961" spans="1:5">
      <c r="A961" s="30">
        <v>43028</v>
      </c>
      <c r="B961" s="28">
        <v>36.758823</v>
      </c>
      <c r="C961" s="28">
        <f t="shared" si="23"/>
        <v>1.7290519833802745E-3</v>
      </c>
      <c r="D961" s="31">
        <v>2575.21</v>
      </c>
      <c r="E961" s="28">
        <f t="shared" si="23"/>
        <v>5.103849469401585E-3</v>
      </c>
    </row>
    <row r="962" spans="1:5">
      <c r="A962" s="30">
        <v>43031</v>
      </c>
      <c r="B962" s="28">
        <v>36.740012999999998</v>
      </c>
      <c r="C962" s="28">
        <f t="shared" si="23"/>
        <v>-5.1184485181950514E-4</v>
      </c>
      <c r="D962" s="31">
        <v>2564.98</v>
      </c>
      <c r="E962" s="28">
        <f t="shared" si="23"/>
        <v>-3.9804028670812871E-3</v>
      </c>
    </row>
    <row r="963" spans="1:5">
      <c r="A963" s="30">
        <v>43032</v>
      </c>
      <c r="B963" s="28">
        <v>36.958801000000001</v>
      </c>
      <c r="C963" s="28">
        <f t="shared" si="23"/>
        <v>5.9373721463934223E-3</v>
      </c>
      <c r="D963" s="31">
        <v>2569.13</v>
      </c>
      <c r="E963" s="28">
        <f t="shared" si="23"/>
        <v>1.6166388736675908E-3</v>
      </c>
    </row>
    <row r="964" spans="1:5">
      <c r="A964" s="30">
        <v>43033</v>
      </c>
      <c r="B964" s="28">
        <v>36.796474000000003</v>
      </c>
      <c r="C964" s="28">
        <f t="shared" si="23"/>
        <v>-4.4017804041664894E-3</v>
      </c>
      <c r="D964" s="31">
        <v>2557.15</v>
      </c>
      <c r="E964" s="28">
        <f t="shared" si="23"/>
        <v>-4.6739631114622714E-3</v>
      </c>
    </row>
    <row r="965" spans="1:5">
      <c r="A965" s="30">
        <v>43034</v>
      </c>
      <c r="B965" s="28">
        <v>37.031742000000001</v>
      </c>
      <c r="C965" s="28">
        <f t="shared" ref="C965:E1028" si="24">LN(B965/B964)</f>
        <v>6.3734113902725381E-3</v>
      </c>
      <c r="D965" s="31">
        <v>2560.4</v>
      </c>
      <c r="E965" s="28">
        <f t="shared" si="24"/>
        <v>1.2701392021270566E-3</v>
      </c>
    </row>
    <row r="966" spans="1:5">
      <c r="A966" s="30">
        <v>43035</v>
      </c>
      <c r="B966" s="28">
        <v>38.358584999999998</v>
      </c>
      <c r="C966" s="28">
        <f t="shared" si="24"/>
        <v>3.5202925194995696E-2</v>
      </c>
      <c r="D966" s="31">
        <v>2581.0700000000002</v>
      </c>
      <c r="E966" s="28">
        <f t="shared" si="24"/>
        <v>8.0405453538159206E-3</v>
      </c>
    </row>
    <row r="967" spans="1:5">
      <c r="A967" s="30">
        <v>43038</v>
      </c>
      <c r="B967" s="28">
        <v>39.221984999999997</v>
      </c>
      <c r="C967" s="28">
        <f t="shared" si="24"/>
        <v>2.2259069467956097E-2</v>
      </c>
      <c r="D967" s="31">
        <v>2572.83</v>
      </c>
      <c r="E967" s="28">
        <f t="shared" si="24"/>
        <v>-3.1975812572382673E-3</v>
      </c>
    </row>
    <row r="968" spans="1:5">
      <c r="A968" s="30">
        <v>43039</v>
      </c>
      <c r="B968" s="28">
        <v>39.767761</v>
      </c>
      <c r="C968" s="28">
        <f t="shared" si="24"/>
        <v>1.3819127496993816E-2</v>
      </c>
      <c r="D968" s="31">
        <v>2575.2600000000002</v>
      </c>
      <c r="E968" s="28">
        <f t="shared" si="24"/>
        <v>9.4403950998150389E-4</v>
      </c>
    </row>
    <row r="969" spans="1:5">
      <c r="A969" s="30">
        <v>43040</v>
      </c>
      <c r="B969" s="28">
        <v>39.261958999999997</v>
      </c>
      <c r="C969" s="28">
        <f t="shared" si="24"/>
        <v>-1.2800473198565329E-2</v>
      </c>
      <c r="D969" s="31">
        <v>2579.36</v>
      </c>
      <c r="E969" s="28">
        <f t="shared" si="24"/>
        <v>1.5908062532808776E-3</v>
      </c>
    </row>
    <row r="970" spans="1:5">
      <c r="A970" s="30">
        <v>43041</v>
      </c>
      <c r="B970" s="28">
        <v>39.548980999999998</v>
      </c>
      <c r="C970" s="28">
        <f t="shared" si="24"/>
        <v>7.2838433085535732E-3</v>
      </c>
      <c r="D970" s="31">
        <v>2579.85</v>
      </c>
      <c r="E970" s="28">
        <f t="shared" si="24"/>
        <v>1.8995156292258536E-4</v>
      </c>
    </row>
    <row r="971" spans="1:5">
      <c r="A971" s="30">
        <v>43042</v>
      </c>
      <c r="B971" s="28">
        <v>40.581757000000003</v>
      </c>
      <c r="C971" s="28">
        <f t="shared" si="24"/>
        <v>2.5778701623977916E-2</v>
      </c>
      <c r="D971" s="31">
        <v>2587.84</v>
      </c>
      <c r="E971" s="28">
        <f t="shared" si="24"/>
        <v>3.0922932168462635E-3</v>
      </c>
    </row>
    <row r="972" spans="1:5">
      <c r="A972" s="30">
        <v>43045</v>
      </c>
      <c r="B972" s="28">
        <v>40.993462000000001</v>
      </c>
      <c r="C972" s="28">
        <f t="shared" si="24"/>
        <v>1.0093959922924797E-2</v>
      </c>
      <c r="D972" s="31">
        <v>2591.13</v>
      </c>
      <c r="E972" s="28">
        <f t="shared" si="24"/>
        <v>1.2705230741123081E-3</v>
      </c>
    </row>
    <row r="973" spans="1:5">
      <c r="A973" s="30">
        <v>43046</v>
      </c>
      <c r="B973" s="28">
        <v>41.125197999999997</v>
      </c>
      <c r="C973" s="28">
        <f t="shared" si="24"/>
        <v>3.2084330895799699E-3</v>
      </c>
      <c r="D973" s="31">
        <v>2590.64</v>
      </c>
      <c r="E973" s="28">
        <f t="shared" si="24"/>
        <v>-1.8912456610798272E-4</v>
      </c>
    </row>
    <row r="974" spans="1:5">
      <c r="A974" s="30">
        <v>43047</v>
      </c>
      <c r="B974" s="28">
        <v>41.461609000000003</v>
      </c>
      <c r="C974" s="28">
        <f t="shared" si="24"/>
        <v>8.1468910811031206E-3</v>
      </c>
      <c r="D974" s="31">
        <v>2594.38</v>
      </c>
      <c r="E974" s="28">
        <f t="shared" si="24"/>
        <v>1.442617636431107E-3</v>
      </c>
    </row>
    <row r="975" spans="1:5">
      <c r="A975" s="30">
        <v>43048</v>
      </c>
      <c r="B975" s="28">
        <v>41.376922999999998</v>
      </c>
      <c r="C975" s="28">
        <f t="shared" si="24"/>
        <v>-2.0446047861361239E-3</v>
      </c>
      <c r="D975" s="31">
        <v>2584.62</v>
      </c>
      <c r="E975" s="28">
        <f t="shared" si="24"/>
        <v>-3.7690718494426323E-3</v>
      </c>
    </row>
    <row r="976" spans="1:5">
      <c r="A976" s="30">
        <v>43049</v>
      </c>
      <c r="B976" s="28">
        <v>41.239994000000003</v>
      </c>
      <c r="C976" s="28">
        <f t="shared" si="24"/>
        <v>-3.314796299645538E-3</v>
      </c>
      <c r="D976" s="31">
        <v>2582.3000000000002</v>
      </c>
      <c r="E976" s="28">
        <f t="shared" si="24"/>
        <v>-8.9802054450679157E-4</v>
      </c>
    </row>
    <row r="977" spans="1:5">
      <c r="A977" s="30">
        <v>43052</v>
      </c>
      <c r="B977" s="28">
        <v>41.074714999999998</v>
      </c>
      <c r="C977" s="28">
        <f t="shared" si="24"/>
        <v>-4.015788286757532E-3</v>
      </c>
      <c r="D977" s="31">
        <v>2584.84</v>
      </c>
      <c r="E977" s="28">
        <f t="shared" si="24"/>
        <v>9.8313581772029252E-4</v>
      </c>
    </row>
    <row r="978" spans="1:5">
      <c r="A978" s="30">
        <v>43053</v>
      </c>
      <c r="B978" s="28">
        <v>40.453758000000001</v>
      </c>
      <c r="C978" s="28">
        <f t="shared" si="24"/>
        <v>-1.5233181362293957E-2</v>
      </c>
      <c r="D978" s="31">
        <v>2578.87</v>
      </c>
      <c r="E978" s="28">
        <f t="shared" si="24"/>
        <v>-2.3122919993494805E-3</v>
      </c>
    </row>
    <row r="979" spans="1:5">
      <c r="A979" s="30">
        <v>43054</v>
      </c>
      <c r="B979" s="28">
        <v>39.920174000000003</v>
      </c>
      <c r="C979" s="28">
        <f t="shared" si="24"/>
        <v>-1.3277733858682514E-2</v>
      </c>
      <c r="D979" s="31">
        <v>2564.62</v>
      </c>
      <c r="E979" s="28">
        <f t="shared" si="24"/>
        <v>-5.5409989946132651E-3</v>
      </c>
    </row>
    <row r="980" spans="1:5">
      <c r="A980" s="30">
        <v>43055</v>
      </c>
      <c r="B980" s="28">
        <v>40.397101999999997</v>
      </c>
      <c r="C980" s="28">
        <f t="shared" si="24"/>
        <v>1.1876239569726646E-2</v>
      </c>
      <c r="D980" s="31">
        <v>2585.64</v>
      </c>
      <c r="E980" s="28">
        <f t="shared" si="24"/>
        <v>8.1627400224411704E-3</v>
      </c>
    </row>
    <row r="981" spans="1:5">
      <c r="A981" s="30">
        <v>43056</v>
      </c>
      <c r="B981" s="28">
        <v>40.172794000000003</v>
      </c>
      <c r="C981" s="28">
        <f t="shared" si="24"/>
        <v>-5.5680493747033146E-3</v>
      </c>
      <c r="D981" s="31">
        <v>2578.85</v>
      </c>
      <c r="E981" s="28">
        <f t="shared" si="24"/>
        <v>-2.6294963926015349E-3</v>
      </c>
    </row>
    <row r="982" spans="1:5">
      <c r="A982" s="30">
        <v>43059</v>
      </c>
      <c r="B982" s="28">
        <v>40.132660000000001</v>
      </c>
      <c r="C982" s="28">
        <f t="shared" si="24"/>
        <v>-9.995336889916653E-4</v>
      </c>
      <c r="D982" s="31">
        <v>2582.14</v>
      </c>
      <c r="E982" s="28">
        <f t="shared" si="24"/>
        <v>1.2749493588078771E-3</v>
      </c>
    </row>
    <row r="983" spans="1:5">
      <c r="A983" s="30">
        <v>43060</v>
      </c>
      <c r="B983" s="28">
        <v>40.878746</v>
      </c>
      <c r="C983" s="28">
        <f t="shared" si="24"/>
        <v>1.8419803620955254E-2</v>
      </c>
      <c r="D983" s="31">
        <v>2599.0300000000002</v>
      </c>
      <c r="E983" s="28">
        <f t="shared" si="24"/>
        <v>6.5197860056391329E-3</v>
      </c>
    </row>
    <row r="984" spans="1:5">
      <c r="A984" s="30">
        <v>43061</v>
      </c>
      <c r="B984" s="28">
        <v>41.308453</v>
      </c>
      <c r="C984" s="28">
        <f t="shared" si="24"/>
        <v>1.0456881869601453E-2</v>
      </c>
      <c r="D984" s="31">
        <v>2597.08</v>
      </c>
      <c r="E984" s="28">
        <f t="shared" si="24"/>
        <v>-7.5056151295621967E-4</v>
      </c>
    </row>
    <row r="985" spans="1:5">
      <c r="A985" s="30">
        <v>43063</v>
      </c>
      <c r="B985" s="28">
        <v>41.310814000000001</v>
      </c>
      <c r="C985" s="28">
        <f t="shared" si="24"/>
        <v>5.7153738743379688E-5</v>
      </c>
      <c r="D985" s="31">
        <v>2602.42</v>
      </c>
      <c r="E985" s="28">
        <f t="shared" si="24"/>
        <v>2.0540443802283723E-3</v>
      </c>
    </row>
    <row r="986" spans="1:5">
      <c r="A986" s="30">
        <v>43066</v>
      </c>
      <c r="B986" s="28">
        <v>41.103045999999999</v>
      </c>
      <c r="C986" s="28">
        <f t="shared" si="24"/>
        <v>-5.0420752083537119E-3</v>
      </c>
      <c r="D986" s="31">
        <v>2601.42</v>
      </c>
      <c r="E986" s="28">
        <f t="shared" si="24"/>
        <v>-3.8433157526338035E-4</v>
      </c>
    </row>
    <row r="987" spans="1:5">
      <c r="A987" s="30">
        <v>43067</v>
      </c>
      <c r="B987" s="28">
        <v>40.862209</v>
      </c>
      <c r="C987" s="28">
        <f t="shared" si="24"/>
        <v>-5.876580097072464E-3</v>
      </c>
      <c r="D987" s="31">
        <v>2627.04</v>
      </c>
      <c r="E987" s="28">
        <f t="shared" si="24"/>
        <v>9.8002872957213879E-3</v>
      </c>
    </row>
    <row r="988" spans="1:5">
      <c r="A988" s="30">
        <v>43068</v>
      </c>
      <c r="B988" s="28">
        <v>40.014609999999998</v>
      </c>
      <c r="C988" s="28">
        <f t="shared" si="24"/>
        <v>-2.096101315471182E-2</v>
      </c>
      <c r="D988" s="31">
        <v>2626.07</v>
      </c>
      <c r="E988" s="28">
        <f t="shared" si="24"/>
        <v>-3.6930504444957223E-4</v>
      </c>
    </row>
    <row r="989" spans="1:5">
      <c r="A989" s="30">
        <v>43069</v>
      </c>
      <c r="B989" s="28">
        <v>40.574181000000003</v>
      </c>
      <c r="C989" s="28">
        <f t="shared" si="24"/>
        <v>1.3887290927661755E-2</v>
      </c>
      <c r="D989" s="31">
        <v>2647.58</v>
      </c>
      <c r="E989" s="28">
        <f t="shared" si="24"/>
        <v>8.1575831857880702E-3</v>
      </c>
    </row>
    <row r="990" spans="1:5">
      <c r="A990" s="30">
        <v>43070</v>
      </c>
      <c r="B990" s="28">
        <v>40.385300000000001</v>
      </c>
      <c r="C990" s="28">
        <f t="shared" si="24"/>
        <v>-4.6660709867053177E-3</v>
      </c>
      <c r="D990" s="31">
        <v>2642.22</v>
      </c>
      <c r="E990" s="28">
        <f t="shared" si="24"/>
        <v>-2.0265423397495962E-3</v>
      </c>
    </row>
    <row r="991" spans="1:5">
      <c r="A991" s="30">
        <v>43073</v>
      </c>
      <c r="B991" s="28">
        <v>40.090153000000001</v>
      </c>
      <c r="C991" s="28">
        <f t="shared" si="24"/>
        <v>-7.3351143071456919E-3</v>
      </c>
      <c r="D991" s="31">
        <v>2639.44</v>
      </c>
      <c r="E991" s="28">
        <f t="shared" si="24"/>
        <v>-1.052699437952113E-3</v>
      </c>
    </row>
    <row r="992" spans="1:5">
      <c r="A992" s="30">
        <v>43074</v>
      </c>
      <c r="B992" s="28">
        <v>40.052394999999997</v>
      </c>
      <c r="C992" s="28">
        <f t="shared" si="24"/>
        <v>-9.4227108411127302E-4</v>
      </c>
      <c r="D992" s="31">
        <v>2629.57</v>
      </c>
      <c r="E992" s="28">
        <f t="shared" si="24"/>
        <v>-3.7464387216745616E-3</v>
      </c>
    </row>
    <row r="993" spans="1:5">
      <c r="A993" s="30">
        <v>43075</v>
      </c>
      <c r="B993" s="28">
        <v>39.903644999999997</v>
      </c>
      <c r="C993" s="28">
        <f t="shared" si="24"/>
        <v>-3.7207988692822265E-3</v>
      </c>
      <c r="D993" s="31">
        <v>2629.27</v>
      </c>
      <c r="E993" s="28">
        <f t="shared" si="24"/>
        <v>-1.1409360251520882E-4</v>
      </c>
    </row>
    <row r="994" spans="1:5">
      <c r="A994" s="30">
        <v>43076</v>
      </c>
      <c r="B994" s="28">
        <v>39.976841</v>
      </c>
      <c r="C994" s="28">
        <f t="shared" si="24"/>
        <v>1.8326383363795843E-3</v>
      </c>
      <c r="D994" s="31">
        <v>2636.98</v>
      </c>
      <c r="E994" s="28">
        <f t="shared" si="24"/>
        <v>2.9280818451754833E-3</v>
      </c>
    </row>
    <row r="995" spans="1:5">
      <c r="A995" s="30">
        <v>43077</v>
      </c>
      <c r="B995" s="28">
        <v>39.988644000000001</v>
      </c>
      <c r="C995" s="28">
        <f t="shared" si="24"/>
        <v>2.9520236351249425E-4</v>
      </c>
      <c r="D995" s="31">
        <v>2651.5</v>
      </c>
      <c r="E995" s="28">
        <f t="shared" si="24"/>
        <v>5.491194628844653E-3</v>
      </c>
    </row>
    <row r="996" spans="1:5">
      <c r="A996" s="30">
        <v>43080</v>
      </c>
      <c r="B996" s="28">
        <v>40.767783999999999</v>
      </c>
      <c r="C996" s="28">
        <f t="shared" si="24"/>
        <v>1.9296647855804414E-2</v>
      </c>
      <c r="D996" s="31">
        <v>2659.99</v>
      </c>
      <c r="E996" s="28">
        <f t="shared" si="24"/>
        <v>3.1968457929972233E-3</v>
      </c>
    </row>
    <row r="997" spans="1:5">
      <c r="A997" s="30">
        <v>43081</v>
      </c>
      <c r="B997" s="28">
        <v>40.538769000000002</v>
      </c>
      <c r="C997" s="28">
        <f t="shared" si="24"/>
        <v>-5.6333861712152258E-3</v>
      </c>
      <c r="D997" s="31">
        <v>2664.11</v>
      </c>
      <c r="E997" s="28">
        <f t="shared" si="24"/>
        <v>1.5476797289272538E-3</v>
      </c>
    </row>
    <row r="998" spans="1:5">
      <c r="A998" s="30">
        <v>43082</v>
      </c>
      <c r="B998" s="28">
        <v>40.673340000000003</v>
      </c>
      <c r="C998" s="28">
        <f t="shared" si="24"/>
        <v>3.3140654718478353E-3</v>
      </c>
      <c r="D998" s="31">
        <v>2662.85</v>
      </c>
      <c r="E998" s="28">
        <f t="shared" si="24"/>
        <v>-4.7306532187143082E-4</v>
      </c>
    </row>
    <row r="999" spans="1:5">
      <c r="A999" s="30">
        <v>43083</v>
      </c>
      <c r="B999" s="28">
        <v>40.661537000000003</v>
      </c>
      <c r="C999" s="28">
        <f t="shared" si="24"/>
        <v>-2.9023219849102534E-4</v>
      </c>
      <c r="D999" s="31">
        <v>2652.01</v>
      </c>
      <c r="E999" s="28">
        <f t="shared" si="24"/>
        <v>-4.0791347395288243E-3</v>
      </c>
    </row>
    <row r="1000" spans="1:5">
      <c r="A1000" s="30">
        <v>43084</v>
      </c>
      <c r="B1000" s="28">
        <v>41.074714999999998</v>
      </c>
      <c r="C1000" s="28">
        <f t="shared" si="24"/>
        <v>1.0110116607527005E-2</v>
      </c>
      <c r="D1000" s="31">
        <v>2675.81</v>
      </c>
      <c r="E1000" s="28">
        <f t="shared" si="24"/>
        <v>8.9342951949163939E-3</v>
      </c>
    </row>
    <row r="1001" spans="1:5">
      <c r="A1001" s="30">
        <v>43087</v>
      </c>
      <c r="B1001" s="28">
        <v>41.653171999999998</v>
      </c>
      <c r="C1001" s="28">
        <f t="shared" si="24"/>
        <v>1.3984798804152977E-2</v>
      </c>
      <c r="D1001" s="31">
        <v>2690.16</v>
      </c>
      <c r="E1001" s="28">
        <f t="shared" si="24"/>
        <v>5.3485331483242001E-3</v>
      </c>
    </row>
    <row r="1002" spans="1:5">
      <c r="A1002" s="30">
        <v>43088</v>
      </c>
      <c r="B1002" s="28">
        <v>41.209282000000002</v>
      </c>
      <c r="C1002" s="28">
        <f t="shared" si="24"/>
        <v>-1.0714001932977149E-2</v>
      </c>
      <c r="D1002" s="31">
        <v>2681.47</v>
      </c>
      <c r="E1002" s="28">
        <f t="shared" si="24"/>
        <v>-3.2355197885935352E-3</v>
      </c>
    </row>
    <row r="1003" spans="1:5">
      <c r="A1003" s="30">
        <v>43089</v>
      </c>
      <c r="B1003" s="28">
        <v>41.164433000000002</v>
      </c>
      <c r="C1003" s="28">
        <f t="shared" si="24"/>
        <v>-1.0889154248194986E-3</v>
      </c>
      <c r="D1003" s="31">
        <v>2679.25</v>
      </c>
      <c r="E1003" s="28">
        <f t="shared" si="24"/>
        <v>-8.2824699924951802E-4</v>
      </c>
    </row>
    <row r="1004" spans="1:5">
      <c r="A1004" s="30">
        <v>43090</v>
      </c>
      <c r="B1004" s="28">
        <v>41.320262999999997</v>
      </c>
      <c r="C1004" s="28">
        <f t="shared" si="24"/>
        <v>3.7784023690872019E-3</v>
      </c>
      <c r="D1004" s="31">
        <v>2684.57</v>
      </c>
      <c r="E1004" s="28">
        <f t="shared" si="24"/>
        <v>1.983661548850703E-3</v>
      </c>
    </row>
    <row r="1005" spans="1:5">
      <c r="A1005" s="30">
        <v>43091</v>
      </c>
      <c r="B1005" s="28">
        <v>41.320262999999997</v>
      </c>
      <c r="C1005" s="28">
        <f t="shared" si="24"/>
        <v>0</v>
      </c>
      <c r="D1005" s="31">
        <v>2683.34</v>
      </c>
      <c r="E1005" s="28">
        <f t="shared" si="24"/>
        <v>-4.5827892849429578E-4</v>
      </c>
    </row>
    <row r="1006" spans="1:5">
      <c r="A1006" s="30">
        <v>43095</v>
      </c>
      <c r="B1006" s="28">
        <v>40.271973000000003</v>
      </c>
      <c r="C1006" s="28">
        <f t="shared" si="24"/>
        <v>-2.5697241235884891E-2</v>
      </c>
      <c r="D1006" s="31">
        <v>2680.5</v>
      </c>
      <c r="E1006" s="28">
        <f t="shared" si="24"/>
        <v>-1.0589429458703716E-3</v>
      </c>
    </row>
    <row r="1007" spans="1:5">
      <c r="A1007" s="30">
        <v>43096</v>
      </c>
      <c r="B1007" s="28">
        <v>40.279045000000004</v>
      </c>
      <c r="C1007" s="28">
        <f t="shared" si="24"/>
        <v>1.7559058082097158E-4</v>
      </c>
      <c r="D1007" s="31">
        <v>2682.62</v>
      </c>
      <c r="E1007" s="28">
        <f t="shared" si="24"/>
        <v>7.9058462627016842E-4</v>
      </c>
    </row>
    <row r="1008" spans="1:5">
      <c r="A1008" s="30">
        <v>43097</v>
      </c>
      <c r="B1008" s="28">
        <v>40.392375999999999</v>
      </c>
      <c r="C1008" s="28">
        <f t="shared" si="24"/>
        <v>2.8096957547476568E-3</v>
      </c>
      <c r="D1008" s="31">
        <v>2687.54</v>
      </c>
      <c r="E1008" s="28">
        <f t="shared" si="24"/>
        <v>1.8323481522244368E-3</v>
      </c>
    </row>
    <row r="1009" spans="1:5">
      <c r="A1009" s="30">
        <v>43098</v>
      </c>
      <c r="B1009" s="28">
        <v>39.955584999999999</v>
      </c>
      <c r="C1009" s="28">
        <f t="shared" si="24"/>
        <v>-1.0872592096406369E-2</v>
      </c>
      <c r="D1009" s="31">
        <v>2673.61</v>
      </c>
      <c r="E1009" s="28">
        <f t="shared" si="24"/>
        <v>-5.1966579366681887E-3</v>
      </c>
    </row>
    <row r="1010" spans="1:5">
      <c r="A1010" s="30">
        <v>43102</v>
      </c>
      <c r="B1010" s="28">
        <v>40.670974999999999</v>
      </c>
      <c r="C1010" s="28">
        <f t="shared" si="24"/>
        <v>1.7746230885677877E-2</v>
      </c>
      <c r="D1010" s="31">
        <v>2695.81</v>
      </c>
      <c r="E1010" s="28">
        <f t="shared" si="24"/>
        <v>8.2690966618669728E-3</v>
      </c>
    </row>
    <row r="1011" spans="1:5">
      <c r="A1011" s="30">
        <v>43103</v>
      </c>
      <c r="B1011" s="28">
        <v>40.663894999999997</v>
      </c>
      <c r="C1011" s="28">
        <f t="shared" si="24"/>
        <v>-1.7409507184025651E-4</v>
      </c>
      <c r="D1011" s="31">
        <v>2713.06</v>
      </c>
      <c r="E1011" s="28">
        <f t="shared" si="24"/>
        <v>6.3784333821309434E-3</v>
      </c>
    </row>
    <row r="1012" spans="1:5">
      <c r="A1012" s="30">
        <v>43104</v>
      </c>
      <c r="B1012" s="28">
        <v>40.852767999999998</v>
      </c>
      <c r="C1012" s="28">
        <f t="shared" si="24"/>
        <v>4.6339811035851653E-3</v>
      </c>
      <c r="D1012" s="31">
        <v>2723.99</v>
      </c>
      <c r="E1012" s="28">
        <f t="shared" si="24"/>
        <v>4.0205680372948248E-3</v>
      </c>
    </row>
    <row r="1013" spans="1:5">
      <c r="A1013" s="30">
        <v>43105</v>
      </c>
      <c r="B1013" s="28">
        <v>41.317901999999997</v>
      </c>
      <c r="C1013" s="28">
        <f t="shared" si="24"/>
        <v>1.1321289410683931E-2</v>
      </c>
      <c r="D1013" s="31">
        <v>2743.15</v>
      </c>
      <c r="E1013" s="28">
        <f t="shared" si="24"/>
        <v>7.0091779035817607E-3</v>
      </c>
    </row>
    <row r="1014" spans="1:5">
      <c r="A1014" s="30">
        <v>43108</v>
      </c>
      <c r="B1014" s="28">
        <v>41.164433000000002</v>
      </c>
      <c r="C1014" s="28">
        <f t="shared" si="24"/>
        <v>-3.7212617004714231E-3</v>
      </c>
      <c r="D1014" s="31">
        <v>2747.71</v>
      </c>
      <c r="E1014" s="28">
        <f t="shared" si="24"/>
        <v>1.6609423836402202E-3</v>
      </c>
    </row>
    <row r="1015" spans="1:5">
      <c r="A1015" s="30">
        <v>43109</v>
      </c>
      <c r="B1015" s="28">
        <v>41.159717999999998</v>
      </c>
      <c r="C1015" s="28">
        <f t="shared" si="24"/>
        <v>-1.1454718810667013E-4</v>
      </c>
      <c r="D1015" s="31">
        <v>2751.29</v>
      </c>
      <c r="E1015" s="28">
        <f t="shared" si="24"/>
        <v>1.3020551030292105E-3</v>
      </c>
    </row>
    <row r="1016" spans="1:5">
      <c r="A1016" s="30">
        <v>43110</v>
      </c>
      <c r="B1016" s="28">
        <v>41.150261</v>
      </c>
      <c r="C1016" s="28">
        <f t="shared" si="24"/>
        <v>-2.2978987861509378E-4</v>
      </c>
      <c r="D1016" s="31">
        <v>2748.23</v>
      </c>
      <c r="E1016" s="28">
        <f t="shared" si="24"/>
        <v>-1.112824506788398E-3</v>
      </c>
    </row>
    <row r="1017" spans="1:5">
      <c r="A1017" s="30">
        <v>43111</v>
      </c>
      <c r="B1017" s="28">
        <v>41.383999000000003</v>
      </c>
      <c r="C1017" s="28">
        <f t="shared" si="24"/>
        <v>5.6640387854755793E-3</v>
      </c>
      <c r="D1017" s="31">
        <v>2767.56</v>
      </c>
      <c r="E1017" s="28">
        <f t="shared" si="24"/>
        <v>7.0089974904075066E-3</v>
      </c>
    </row>
    <row r="1018" spans="1:5">
      <c r="A1018" s="30">
        <v>43112</v>
      </c>
      <c r="B1018" s="28">
        <v>41.811356000000004</v>
      </c>
      <c r="C1018" s="28">
        <f t="shared" si="24"/>
        <v>1.0273668737700546E-2</v>
      </c>
      <c r="D1018" s="31">
        <v>2786.24</v>
      </c>
      <c r="E1018" s="28">
        <f t="shared" si="24"/>
        <v>6.726951075669084E-3</v>
      </c>
    </row>
    <row r="1019" spans="1:5">
      <c r="A1019" s="30">
        <v>43116</v>
      </c>
      <c r="B1019" s="28">
        <v>41.598866000000001</v>
      </c>
      <c r="C1019" s="28">
        <f t="shared" si="24"/>
        <v>-5.0950699947032059E-3</v>
      </c>
      <c r="D1019" s="31">
        <v>2776.42</v>
      </c>
      <c r="E1019" s="28">
        <f t="shared" si="24"/>
        <v>-3.5306886277954239E-3</v>
      </c>
    </row>
    <row r="1020" spans="1:5">
      <c r="A1020" s="30">
        <v>43117</v>
      </c>
      <c r="B1020" s="28">
        <v>42.285915000000003</v>
      </c>
      <c r="C1020" s="28">
        <f t="shared" si="24"/>
        <v>1.638114459882058E-2</v>
      </c>
      <c r="D1020" s="31">
        <v>2802.56</v>
      </c>
      <c r="E1020" s="28">
        <f t="shared" si="24"/>
        <v>9.3709571605236092E-3</v>
      </c>
    </row>
    <row r="1021" spans="1:5">
      <c r="A1021" s="30">
        <v>43118</v>
      </c>
      <c r="B1021" s="28">
        <v>42.323695999999998</v>
      </c>
      <c r="C1021" s="28">
        <f t="shared" si="24"/>
        <v>8.930664510695209E-4</v>
      </c>
      <c r="D1021" s="31">
        <v>2798.03</v>
      </c>
      <c r="E1021" s="28">
        <f t="shared" si="24"/>
        <v>-1.6176870607860264E-3</v>
      </c>
    </row>
    <row r="1022" spans="1:5">
      <c r="A1022" s="30">
        <v>43119</v>
      </c>
      <c r="B1022" s="28">
        <v>42.134819</v>
      </c>
      <c r="C1022" s="28">
        <f t="shared" si="24"/>
        <v>-4.4726648312334322E-3</v>
      </c>
      <c r="D1022" s="31">
        <v>2810.3</v>
      </c>
      <c r="E1022" s="28">
        <f t="shared" si="24"/>
        <v>4.3756410828246122E-3</v>
      </c>
    </row>
    <row r="1023" spans="1:5">
      <c r="A1023" s="30">
        <v>43122</v>
      </c>
      <c r="B1023" s="28">
        <v>41.790100000000002</v>
      </c>
      <c r="C1023" s="28">
        <f t="shared" si="24"/>
        <v>-8.2149841250127222E-3</v>
      </c>
      <c r="D1023" s="31">
        <v>2832.97</v>
      </c>
      <c r="E1023" s="28">
        <f t="shared" si="24"/>
        <v>8.0343920983147674E-3</v>
      </c>
    </row>
    <row r="1024" spans="1:5">
      <c r="A1024" s="30">
        <v>43123</v>
      </c>
      <c r="B1024" s="28">
        <v>41.799545000000002</v>
      </c>
      <c r="C1024" s="28">
        <f t="shared" si="24"/>
        <v>2.2598493007575413E-4</v>
      </c>
      <c r="D1024" s="31">
        <v>2839.13</v>
      </c>
      <c r="E1024" s="28">
        <f t="shared" si="24"/>
        <v>2.1720359026722361E-3</v>
      </c>
    </row>
    <row r="1025" spans="1:5">
      <c r="A1025" s="30">
        <v>43124</v>
      </c>
      <c r="B1025" s="28">
        <v>41.133732000000002</v>
      </c>
      <c r="C1025" s="28">
        <f t="shared" si="24"/>
        <v>-1.6056939489445778E-2</v>
      </c>
      <c r="D1025" s="31">
        <v>2837.54</v>
      </c>
      <c r="E1025" s="28">
        <f t="shared" si="24"/>
        <v>-5.6018758940720487E-4</v>
      </c>
    </row>
    <row r="1026" spans="1:5">
      <c r="A1026" s="30">
        <v>43125</v>
      </c>
      <c r="B1026" s="28">
        <v>40.399456000000001</v>
      </c>
      <c r="C1026" s="28">
        <f t="shared" si="24"/>
        <v>-1.8012195284645781E-2</v>
      </c>
      <c r="D1026" s="31">
        <v>2839.25</v>
      </c>
      <c r="E1026" s="28">
        <f t="shared" si="24"/>
        <v>6.024531651585847E-4</v>
      </c>
    </row>
    <row r="1027" spans="1:5">
      <c r="A1027" s="30">
        <v>43126</v>
      </c>
      <c r="B1027" s="28">
        <v>40.493904000000001</v>
      </c>
      <c r="C1027" s="28">
        <f t="shared" si="24"/>
        <v>2.3351247350147128E-3</v>
      </c>
      <c r="D1027" s="31">
        <v>2872.87</v>
      </c>
      <c r="E1027" s="28">
        <f t="shared" si="24"/>
        <v>1.1771597314994501E-2</v>
      </c>
    </row>
    <row r="1028" spans="1:5">
      <c r="A1028" s="30">
        <v>43129</v>
      </c>
      <c r="B1028" s="28">
        <v>39.655746000000001</v>
      </c>
      <c r="C1028" s="28">
        <f t="shared" si="24"/>
        <v>-2.0915588650885792E-2</v>
      </c>
      <c r="D1028" s="31">
        <v>2853.53</v>
      </c>
      <c r="E1028" s="28">
        <f t="shared" si="24"/>
        <v>-6.7547057606620409E-3</v>
      </c>
    </row>
    <row r="1029" spans="1:5">
      <c r="A1029" s="30">
        <v>43130</v>
      </c>
      <c r="B1029" s="28">
        <v>39.422001000000002</v>
      </c>
      <c r="C1029" s="28">
        <f t="shared" ref="C1029:E1092" si="25">LN(B1029/B1028)</f>
        <v>-5.9117941427561495E-3</v>
      </c>
      <c r="D1029" s="31">
        <v>2822.43</v>
      </c>
      <c r="E1029" s="28">
        <f t="shared" si="25"/>
        <v>-1.0958608318405548E-2</v>
      </c>
    </row>
    <row r="1030" spans="1:5">
      <c r="A1030" s="30">
        <v>43131</v>
      </c>
      <c r="B1030" s="28">
        <v>39.530605000000001</v>
      </c>
      <c r="C1030" s="28">
        <f t="shared" si="25"/>
        <v>2.7511205519657532E-3</v>
      </c>
      <c r="D1030" s="31">
        <v>2823.81</v>
      </c>
      <c r="E1030" s="28">
        <f t="shared" si="25"/>
        <v>4.8882088876100647E-4</v>
      </c>
    </row>
    <row r="1031" spans="1:5">
      <c r="A1031" s="30">
        <v>43132</v>
      </c>
      <c r="B1031" s="28">
        <v>39.613239</v>
      </c>
      <c r="C1031" s="28">
        <f t="shared" si="25"/>
        <v>2.088198547132335E-3</v>
      </c>
      <c r="D1031" s="31">
        <v>2821.98</v>
      </c>
      <c r="E1031" s="28">
        <f t="shared" si="25"/>
        <v>-6.4827068101673384E-4</v>
      </c>
    </row>
    <row r="1032" spans="1:5">
      <c r="A1032" s="30">
        <v>43133</v>
      </c>
      <c r="B1032" s="28">
        <v>37.894421000000001</v>
      </c>
      <c r="C1032" s="28">
        <f t="shared" si="25"/>
        <v>-4.4359482483677701E-2</v>
      </c>
      <c r="D1032" s="31">
        <v>2762.13</v>
      </c>
      <c r="E1032" s="28">
        <f t="shared" si="25"/>
        <v>-2.1436645011316622E-2</v>
      </c>
    </row>
    <row r="1033" spans="1:5">
      <c r="A1033" s="30">
        <v>43136</v>
      </c>
      <c r="B1033" s="28">
        <v>36.947639000000002</v>
      </c>
      <c r="C1033" s="28">
        <f t="shared" si="25"/>
        <v>-2.5302149892325921E-2</v>
      </c>
      <c r="D1033" s="31">
        <v>2648.94</v>
      </c>
      <c r="E1033" s="28">
        <f t="shared" si="25"/>
        <v>-4.1842561245182139E-2</v>
      </c>
    </row>
    <row r="1034" spans="1:5">
      <c r="A1034" s="30">
        <v>43137</v>
      </c>
      <c r="B1034" s="28">
        <v>38.491756000000002</v>
      </c>
      <c r="C1034" s="28">
        <f t="shared" si="25"/>
        <v>4.0942340300156428E-2</v>
      </c>
      <c r="D1034" s="31">
        <v>2695.14</v>
      </c>
      <c r="E1034" s="28">
        <f t="shared" si="25"/>
        <v>1.7290591086863923E-2</v>
      </c>
    </row>
    <row r="1035" spans="1:5">
      <c r="A1035" s="30">
        <v>43138</v>
      </c>
      <c r="B1035" s="28">
        <v>37.667758999999997</v>
      </c>
      <c r="C1035" s="28">
        <f t="shared" si="25"/>
        <v>-2.1639558870795942E-2</v>
      </c>
      <c r="D1035" s="31">
        <v>2681.66</v>
      </c>
      <c r="E1035" s="28">
        <f t="shared" si="25"/>
        <v>-5.0141453066676256E-3</v>
      </c>
    </row>
    <row r="1036" spans="1:5">
      <c r="A1036" s="30">
        <v>43139</v>
      </c>
      <c r="B1036" s="28">
        <v>36.631270999999998</v>
      </c>
      <c r="C1036" s="28">
        <f t="shared" si="25"/>
        <v>-2.7902255100290953E-2</v>
      </c>
      <c r="D1036" s="31">
        <v>2581</v>
      </c>
      <c r="E1036" s="28">
        <f t="shared" si="25"/>
        <v>-3.8259085020510716E-2</v>
      </c>
    </row>
    <row r="1037" spans="1:5">
      <c r="A1037" s="30">
        <v>43140</v>
      </c>
      <c r="B1037" s="28">
        <v>37.079310999999997</v>
      </c>
      <c r="C1037" s="28">
        <f t="shared" si="25"/>
        <v>1.2156884556045952E-2</v>
      </c>
      <c r="D1037" s="31">
        <v>2619.5500000000002</v>
      </c>
      <c r="E1037" s="28">
        <f t="shared" si="25"/>
        <v>1.4825626559634099E-2</v>
      </c>
    </row>
    <row r="1038" spans="1:5">
      <c r="A1038" s="30">
        <v>43143</v>
      </c>
      <c r="B1038" s="28">
        <v>38.572830000000003</v>
      </c>
      <c r="C1038" s="28">
        <f t="shared" si="25"/>
        <v>3.9488983536861318E-2</v>
      </c>
      <c r="D1038" s="31">
        <v>2656</v>
      </c>
      <c r="E1038" s="28">
        <f t="shared" si="25"/>
        <v>1.3818684318076369E-2</v>
      </c>
    </row>
    <row r="1039" spans="1:5">
      <c r="A1039" s="30">
        <v>43144</v>
      </c>
      <c r="B1039" s="28">
        <v>38.959254999999999</v>
      </c>
      <c r="C1039" s="28">
        <f t="shared" si="25"/>
        <v>9.9682137985565075E-3</v>
      </c>
      <c r="D1039" s="31">
        <v>2662.94</v>
      </c>
      <c r="E1039" s="28">
        <f t="shared" si="25"/>
        <v>2.6095439836837349E-3</v>
      </c>
    </row>
    <row r="1040" spans="1:5">
      <c r="A1040" s="30">
        <v>43145</v>
      </c>
      <c r="B1040" s="28">
        <v>39.677551000000001</v>
      </c>
      <c r="C1040" s="28">
        <f t="shared" si="25"/>
        <v>1.8269205347079948E-2</v>
      </c>
      <c r="D1040" s="31">
        <v>2698.63</v>
      </c>
      <c r="E1040" s="28">
        <f t="shared" si="25"/>
        <v>1.3313461230303598E-2</v>
      </c>
    </row>
    <row r="1041" spans="1:5">
      <c r="A1041" s="30">
        <v>43146</v>
      </c>
      <c r="B1041" s="28">
        <v>41.009853</v>
      </c>
      <c r="C1041" s="28">
        <f t="shared" si="25"/>
        <v>3.3026793143964527E-2</v>
      </c>
      <c r="D1041" s="31">
        <v>2731.2</v>
      </c>
      <c r="E1041" s="28">
        <f t="shared" si="25"/>
        <v>1.1996836229864197E-2</v>
      </c>
    </row>
    <row r="1042" spans="1:5">
      <c r="A1042" s="30">
        <v>43147</v>
      </c>
      <c r="B1042" s="28">
        <v>40.877094</v>
      </c>
      <c r="C1042" s="28">
        <f t="shared" si="25"/>
        <v>-3.2424976429192183E-3</v>
      </c>
      <c r="D1042" s="31">
        <v>2732.22</v>
      </c>
      <c r="E1042" s="28">
        <f t="shared" si="25"/>
        <v>3.733924947562478E-4</v>
      </c>
    </row>
    <row r="1043" spans="1:5">
      <c r="A1043" s="30">
        <v>43151</v>
      </c>
      <c r="B1043" s="28">
        <v>40.739604999999997</v>
      </c>
      <c r="C1043" s="28">
        <f t="shared" si="25"/>
        <v>-3.3691421422097699E-3</v>
      </c>
      <c r="D1043" s="31">
        <v>2716.26</v>
      </c>
      <c r="E1043" s="28">
        <f t="shared" si="25"/>
        <v>-5.8585314248203952E-3</v>
      </c>
    </row>
    <row r="1044" spans="1:5">
      <c r="A1044" s="30">
        <v>43152</v>
      </c>
      <c r="B1044" s="28">
        <v>40.554687999999999</v>
      </c>
      <c r="C1044" s="28">
        <f t="shared" si="25"/>
        <v>-4.5493308841843706E-3</v>
      </c>
      <c r="D1044" s="31">
        <v>2701.33</v>
      </c>
      <c r="E1044" s="28">
        <f t="shared" si="25"/>
        <v>-5.5116898090027547E-3</v>
      </c>
    </row>
    <row r="1045" spans="1:5">
      <c r="A1045" s="30">
        <v>43153</v>
      </c>
      <c r="B1045" s="28">
        <v>40.893700000000003</v>
      </c>
      <c r="C1045" s="28">
        <f t="shared" si="25"/>
        <v>8.3246327177940449E-3</v>
      </c>
      <c r="D1045" s="31">
        <v>2703.96</v>
      </c>
      <c r="E1045" s="28">
        <f t="shared" si="25"/>
        <v>9.7312085292120475E-4</v>
      </c>
    </row>
    <row r="1046" spans="1:5">
      <c r="A1046" s="30">
        <v>43154</v>
      </c>
      <c r="B1046" s="28">
        <v>41.604892999999997</v>
      </c>
      <c r="C1046" s="28">
        <f t="shared" si="25"/>
        <v>1.7241763588375855E-2</v>
      </c>
      <c r="D1046" s="31">
        <v>2747.3</v>
      </c>
      <c r="E1046" s="28">
        <f t="shared" si="25"/>
        <v>1.590124602558474E-2</v>
      </c>
    </row>
    <row r="1047" spans="1:5">
      <c r="A1047" s="30">
        <v>43157</v>
      </c>
      <c r="B1047" s="28">
        <v>42.427509000000001</v>
      </c>
      <c r="C1047" s="28">
        <f t="shared" si="25"/>
        <v>1.9579168487017084E-2</v>
      </c>
      <c r="D1047" s="31">
        <v>2779.6</v>
      </c>
      <c r="E1047" s="28">
        <f t="shared" si="25"/>
        <v>1.1688421260557077E-2</v>
      </c>
    </row>
    <row r="1048" spans="1:5">
      <c r="A1048" s="30">
        <v>43158</v>
      </c>
      <c r="B1048" s="28">
        <v>42.290005000000001</v>
      </c>
      <c r="C1048" s="28">
        <f t="shared" si="25"/>
        <v>-3.246179314179135E-3</v>
      </c>
      <c r="D1048" s="31">
        <v>2744.28</v>
      </c>
      <c r="E1048" s="28">
        <f t="shared" si="25"/>
        <v>-1.2788286983879777E-2</v>
      </c>
    </row>
    <row r="1049" spans="1:5">
      <c r="A1049" s="30">
        <v>43159</v>
      </c>
      <c r="B1049" s="28">
        <v>42.225985999999999</v>
      </c>
      <c r="C1049" s="28">
        <f t="shared" si="25"/>
        <v>-1.5149561990967226E-3</v>
      </c>
      <c r="D1049" s="31">
        <v>2713.83</v>
      </c>
      <c r="E1049" s="28">
        <f t="shared" si="25"/>
        <v>-1.1157824195769547E-2</v>
      </c>
    </row>
    <row r="1050" spans="1:5">
      <c r="A1050" s="30">
        <v>43160</v>
      </c>
      <c r="B1050" s="28">
        <v>41.486359</v>
      </c>
      <c r="C1050" s="28">
        <f t="shared" si="25"/>
        <v>-1.7671139108371647E-2</v>
      </c>
      <c r="D1050" s="31">
        <v>2677.67</v>
      </c>
      <c r="E1050" s="28">
        <f t="shared" si="25"/>
        <v>-1.3413907890662753E-2</v>
      </c>
    </row>
    <row r="1051" spans="1:5">
      <c r="A1051" s="30">
        <v>43161</v>
      </c>
      <c r="B1051" s="28">
        <v>41.773204999999997</v>
      </c>
      <c r="C1051" s="28">
        <f t="shared" si="25"/>
        <v>6.8904308676465201E-3</v>
      </c>
      <c r="D1051" s="31">
        <v>2691.25</v>
      </c>
      <c r="E1051" s="28">
        <f t="shared" si="25"/>
        <v>5.0587563087125835E-3</v>
      </c>
    </row>
    <row r="1052" spans="1:5">
      <c r="A1052" s="30">
        <v>43164</v>
      </c>
      <c r="B1052" s="28">
        <v>41.917805000000001</v>
      </c>
      <c r="C1052" s="28">
        <f t="shared" si="25"/>
        <v>3.4555717248180898E-3</v>
      </c>
      <c r="D1052" s="31">
        <v>2720.94</v>
      </c>
      <c r="E1052" s="28">
        <f t="shared" si="25"/>
        <v>1.0971639144904529E-2</v>
      </c>
    </row>
    <row r="1053" spans="1:5">
      <c r="A1053" s="30">
        <v>43165</v>
      </c>
      <c r="B1053" s="28">
        <v>41.882252000000001</v>
      </c>
      <c r="C1053" s="28">
        <f t="shared" si="25"/>
        <v>-8.4851976015098084E-4</v>
      </c>
      <c r="D1053" s="31">
        <v>2728.12</v>
      </c>
      <c r="E1053" s="28">
        <f t="shared" si="25"/>
        <v>2.6353184422145334E-3</v>
      </c>
    </row>
    <row r="1054" spans="1:5">
      <c r="A1054" s="30">
        <v>43166</v>
      </c>
      <c r="B1054" s="28">
        <v>41.493462000000001</v>
      </c>
      <c r="C1054" s="28">
        <f t="shared" si="25"/>
        <v>-9.3262845835888567E-3</v>
      </c>
      <c r="D1054" s="31">
        <v>2726.8</v>
      </c>
      <c r="E1054" s="28">
        <f t="shared" si="25"/>
        <v>-4.8396677706154348E-4</v>
      </c>
    </row>
    <row r="1055" spans="1:5">
      <c r="A1055" s="30">
        <v>43167</v>
      </c>
      <c r="B1055" s="28">
        <v>41.946261999999997</v>
      </c>
      <c r="C1055" s="28">
        <f t="shared" si="25"/>
        <v>1.0853450207460561E-2</v>
      </c>
      <c r="D1055" s="31">
        <v>2738.97</v>
      </c>
      <c r="E1055" s="28">
        <f t="shared" si="25"/>
        <v>4.453176811945213E-3</v>
      </c>
    </row>
    <row r="1056" spans="1:5">
      <c r="A1056" s="30">
        <v>43168</v>
      </c>
      <c r="B1056" s="28">
        <v>42.666946000000003</v>
      </c>
      <c r="C1056" s="28">
        <f t="shared" si="25"/>
        <v>1.703519924070919E-2</v>
      </c>
      <c r="D1056" s="31">
        <v>2786.57</v>
      </c>
      <c r="E1056" s="28">
        <f t="shared" si="25"/>
        <v>1.7229511513169881E-2</v>
      </c>
    </row>
    <row r="1057" spans="1:5">
      <c r="A1057" s="30">
        <v>43171</v>
      </c>
      <c r="B1057" s="28">
        <v>43.079436999999999</v>
      </c>
      <c r="C1057" s="28">
        <f t="shared" si="25"/>
        <v>9.6212613883367368E-3</v>
      </c>
      <c r="D1057" s="31">
        <v>2783.02</v>
      </c>
      <c r="E1057" s="28">
        <f t="shared" si="25"/>
        <v>-1.2747798242772499E-3</v>
      </c>
    </row>
    <row r="1058" spans="1:5">
      <c r="A1058" s="30">
        <v>43172</v>
      </c>
      <c r="B1058" s="28">
        <v>42.664566000000001</v>
      </c>
      <c r="C1058" s="28">
        <f t="shared" si="25"/>
        <v>-9.6770438289577026E-3</v>
      </c>
      <c r="D1058" s="31">
        <v>2765.31</v>
      </c>
      <c r="E1058" s="28">
        <f t="shared" si="25"/>
        <v>-6.3839245851629312E-3</v>
      </c>
    </row>
    <row r="1059" spans="1:5">
      <c r="A1059" s="30">
        <v>43173</v>
      </c>
      <c r="B1059" s="28">
        <v>42.301864999999999</v>
      </c>
      <c r="C1059" s="28">
        <f t="shared" si="25"/>
        <v>-8.5375647496364129E-3</v>
      </c>
      <c r="D1059" s="31">
        <v>2749.48</v>
      </c>
      <c r="E1059" s="28">
        <f t="shared" si="25"/>
        <v>-5.7409415327189526E-3</v>
      </c>
    </row>
    <row r="1060" spans="1:5">
      <c r="A1060" s="30">
        <v>43174</v>
      </c>
      <c r="B1060" s="28">
        <v>42.351643000000003</v>
      </c>
      <c r="C1060" s="28">
        <f t="shared" si="25"/>
        <v>1.1760411804131754E-3</v>
      </c>
      <c r="D1060" s="31">
        <v>2747.33</v>
      </c>
      <c r="E1060" s="28">
        <f t="shared" si="25"/>
        <v>-7.8227193941249383E-4</v>
      </c>
    </row>
    <row r="1061" spans="1:5">
      <c r="A1061" s="30">
        <v>43175</v>
      </c>
      <c r="B1061" s="28">
        <v>42.202281999999997</v>
      </c>
      <c r="C1061" s="28">
        <f t="shared" si="25"/>
        <v>-3.5329206859277015E-3</v>
      </c>
      <c r="D1061" s="31">
        <v>2752.01</v>
      </c>
      <c r="E1061" s="28">
        <f t="shared" si="25"/>
        <v>1.7020228353889482E-3</v>
      </c>
    </row>
    <row r="1062" spans="1:5">
      <c r="A1062" s="30">
        <v>43178</v>
      </c>
      <c r="B1062" s="28">
        <v>41.557484000000002</v>
      </c>
      <c r="C1062" s="28">
        <f t="shared" si="25"/>
        <v>-1.5396669990624532E-2</v>
      </c>
      <c r="D1062" s="31">
        <v>2712.92</v>
      </c>
      <c r="E1062" s="28">
        <f t="shared" si="25"/>
        <v>-1.4306008195445936E-2</v>
      </c>
    </row>
    <row r="1063" spans="1:5">
      <c r="A1063" s="30">
        <v>43179</v>
      </c>
      <c r="B1063" s="28">
        <v>41.543258999999999</v>
      </c>
      <c r="C1063" s="28">
        <f t="shared" si="25"/>
        <v>-3.4235554642254255E-4</v>
      </c>
      <c r="D1063" s="31">
        <v>2716.94</v>
      </c>
      <c r="E1063" s="28">
        <f t="shared" si="25"/>
        <v>1.4807014304161871E-3</v>
      </c>
    </row>
    <row r="1064" spans="1:5">
      <c r="A1064" s="30">
        <v>43180</v>
      </c>
      <c r="B1064" s="28">
        <v>40.602103999999997</v>
      </c>
      <c r="C1064" s="28">
        <f t="shared" si="25"/>
        <v>-2.29153819472201E-2</v>
      </c>
      <c r="D1064" s="31">
        <v>2711.93</v>
      </c>
      <c r="E1064" s="28">
        <f t="shared" si="25"/>
        <v>-1.8456884848011977E-3</v>
      </c>
    </row>
    <row r="1065" spans="1:5">
      <c r="A1065" s="30">
        <v>43181</v>
      </c>
      <c r="B1065" s="28">
        <v>40.028404000000002</v>
      </c>
      <c r="C1065" s="28">
        <f t="shared" si="25"/>
        <v>-1.4230585812815831E-2</v>
      </c>
      <c r="D1065" s="31">
        <v>2643.69</v>
      </c>
      <c r="E1065" s="28">
        <f t="shared" si="25"/>
        <v>-2.5484890016140731E-2</v>
      </c>
    </row>
    <row r="1066" spans="1:5">
      <c r="A1066" s="30">
        <v>43182</v>
      </c>
      <c r="B1066" s="28">
        <v>39.101486000000001</v>
      </c>
      <c r="C1066" s="28">
        <f t="shared" si="25"/>
        <v>-2.3428830727988303E-2</v>
      </c>
      <c r="D1066" s="31">
        <v>2588.2600000000002</v>
      </c>
      <c r="E1066" s="28">
        <f t="shared" si="25"/>
        <v>-2.1189833248420765E-2</v>
      </c>
    </row>
    <row r="1067" spans="1:5">
      <c r="A1067" s="30">
        <v>43185</v>
      </c>
      <c r="B1067" s="28">
        <v>40.957698999999998</v>
      </c>
      <c r="C1067" s="28">
        <f t="shared" si="25"/>
        <v>4.6379331011233156E-2</v>
      </c>
      <c r="D1067" s="31">
        <v>2658.55</v>
      </c>
      <c r="E1067" s="28">
        <f t="shared" si="25"/>
        <v>2.6795026112632157E-2</v>
      </c>
    </row>
    <row r="1068" spans="1:5">
      <c r="A1068" s="30">
        <v>43186</v>
      </c>
      <c r="B1068" s="28">
        <v>39.907508999999997</v>
      </c>
      <c r="C1068" s="28">
        <f t="shared" si="25"/>
        <v>-2.5975300717476578E-2</v>
      </c>
      <c r="D1068" s="31">
        <v>2612.62</v>
      </c>
      <c r="E1068" s="28">
        <f t="shared" si="25"/>
        <v>-1.7427312133270447E-2</v>
      </c>
    </row>
    <row r="1069" spans="1:5">
      <c r="A1069" s="30">
        <v>43187</v>
      </c>
      <c r="B1069" s="28">
        <v>39.466563999999998</v>
      </c>
      <c r="C1069" s="28">
        <f t="shared" si="25"/>
        <v>-1.1110669250929265E-2</v>
      </c>
      <c r="D1069" s="31">
        <v>2605</v>
      </c>
      <c r="E1069" s="28">
        <f t="shared" si="25"/>
        <v>-2.9208740450646013E-3</v>
      </c>
    </row>
    <row r="1070" spans="1:5">
      <c r="A1070" s="30">
        <v>43188</v>
      </c>
      <c r="B1070" s="28">
        <v>39.774749999999997</v>
      </c>
      <c r="C1070" s="28">
        <f t="shared" si="25"/>
        <v>7.7784564219142783E-3</v>
      </c>
      <c r="D1070" s="31">
        <v>2640.87</v>
      </c>
      <c r="E1070" s="28">
        <f t="shared" si="25"/>
        <v>1.3675733119263357E-2</v>
      </c>
    </row>
    <row r="1071" spans="1:5">
      <c r="A1071" s="30">
        <v>43192</v>
      </c>
      <c r="B1071" s="28">
        <v>39.513966000000003</v>
      </c>
      <c r="C1071" s="28">
        <f t="shared" si="25"/>
        <v>-6.5781098126542594E-3</v>
      </c>
      <c r="D1071" s="31">
        <v>2581.88</v>
      </c>
      <c r="E1071" s="28">
        <f t="shared" si="25"/>
        <v>-2.2590592580476767E-2</v>
      </c>
    </row>
    <row r="1072" spans="1:5">
      <c r="A1072" s="30">
        <v>43193</v>
      </c>
      <c r="B1072" s="28">
        <v>39.919353000000001</v>
      </c>
      <c r="C1072" s="28">
        <f t="shared" si="25"/>
        <v>1.0207064860771197E-2</v>
      </c>
      <c r="D1072" s="31">
        <v>2614.4499999999998</v>
      </c>
      <c r="E1072" s="28">
        <f t="shared" si="25"/>
        <v>1.2535934603553565E-2</v>
      </c>
    </row>
    <row r="1073" spans="1:5">
      <c r="A1073" s="30">
        <v>43194</v>
      </c>
      <c r="B1073" s="28">
        <v>40.682709000000003</v>
      </c>
      <c r="C1073" s="28">
        <f t="shared" si="25"/>
        <v>1.8941917986411216E-2</v>
      </c>
      <c r="D1073" s="31">
        <v>2644.69</v>
      </c>
      <c r="E1073" s="28">
        <f t="shared" si="25"/>
        <v>1.1500105825438875E-2</v>
      </c>
    </row>
    <row r="1074" spans="1:5">
      <c r="A1074" s="30">
        <v>43195</v>
      </c>
      <c r="B1074" s="28">
        <v>40.964821000000001</v>
      </c>
      <c r="C1074" s="28">
        <f t="shared" si="25"/>
        <v>6.9105121169372426E-3</v>
      </c>
      <c r="D1074" s="31">
        <v>2662.84</v>
      </c>
      <c r="E1074" s="28">
        <f t="shared" si="25"/>
        <v>6.8393662400598977E-3</v>
      </c>
    </row>
    <row r="1075" spans="1:5">
      <c r="A1075" s="30">
        <v>43196</v>
      </c>
      <c r="B1075" s="28">
        <v>39.916992</v>
      </c>
      <c r="C1075" s="28">
        <f t="shared" si="25"/>
        <v>-2.5911576097586611E-2</v>
      </c>
      <c r="D1075" s="31">
        <v>2604.4699999999998</v>
      </c>
      <c r="E1075" s="28">
        <f t="shared" si="25"/>
        <v>-2.2164022802027339E-2</v>
      </c>
    </row>
    <row r="1076" spans="1:5">
      <c r="A1076" s="30">
        <v>43199</v>
      </c>
      <c r="B1076" s="28">
        <v>40.312880999999997</v>
      </c>
      <c r="C1076" s="28">
        <f t="shared" si="25"/>
        <v>9.8689477712662222E-3</v>
      </c>
      <c r="D1076" s="31">
        <v>2613.16</v>
      </c>
      <c r="E1076" s="28">
        <f t="shared" si="25"/>
        <v>3.3310173527511624E-3</v>
      </c>
    </row>
    <row r="1077" spans="1:5">
      <c r="A1077" s="30">
        <v>43200</v>
      </c>
      <c r="B1077" s="28">
        <v>41.071483999999998</v>
      </c>
      <c r="C1077" s="28">
        <f t="shared" si="25"/>
        <v>1.8643015072278689E-2</v>
      </c>
      <c r="D1077" s="31">
        <v>2656.87</v>
      </c>
      <c r="E1077" s="28">
        <f t="shared" si="25"/>
        <v>1.6588521255114928E-2</v>
      </c>
    </row>
    <row r="1078" spans="1:5">
      <c r="A1078" s="30">
        <v>43201</v>
      </c>
      <c r="B1078" s="28">
        <v>40.879471000000002</v>
      </c>
      <c r="C1078" s="28">
        <f t="shared" si="25"/>
        <v>-4.6860552477875758E-3</v>
      </c>
      <c r="D1078" s="31">
        <v>2642.19</v>
      </c>
      <c r="E1078" s="28">
        <f t="shared" si="25"/>
        <v>-5.540619488903829E-3</v>
      </c>
    </row>
    <row r="1079" spans="1:5">
      <c r="A1079" s="30">
        <v>43202</v>
      </c>
      <c r="B1079" s="28">
        <v>41.282482000000002</v>
      </c>
      <c r="C1079" s="28">
        <f t="shared" si="25"/>
        <v>9.8102398361950439E-3</v>
      </c>
      <c r="D1079" s="31">
        <v>2663.99</v>
      </c>
      <c r="E1079" s="28">
        <f t="shared" si="25"/>
        <v>8.2168801872393362E-3</v>
      </c>
    </row>
    <row r="1080" spans="1:5">
      <c r="A1080" s="30">
        <v>43203</v>
      </c>
      <c r="B1080" s="28">
        <v>41.422348</v>
      </c>
      <c r="C1080" s="28">
        <f t="shared" si="25"/>
        <v>3.3822966164873051E-3</v>
      </c>
      <c r="D1080" s="31">
        <v>2656.3</v>
      </c>
      <c r="E1080" s="28">
        <f t="shared" si="25"/>
        <v>-2.8908218745022159E-3</v>
      </c>
    </row>
    <row r="1081" spans="1:5">
      <c r="A1081" s="30">
        <v>43206</v>
      </c>
      <c r="B1081" s="28">
        <v>41.680756000000002</v>
      </c>
      <c r="C1081" s="28">
        <f t="shared" si="25"/>
        <v>6.218993525100411E-3</v>
      </c>
      <c r="D1081" s="31">
        <v>2677.84</v>
      </c>
      <c r="E1081" s="28">
        <f t="shared" si="25"/>
        <v>8.0763223621077573E-3</v>
      </c>
    </row>
    <row r="1082" spans="1:5">
      <c r="A1082" s="30">
        <v>43207</v>
      </c>
      <c r="B1082" s="28">
        <v>42.254458999999997</v>
      </c>
      <c r="C1082" s="28">
        <f t="shared" si="25"/>
        <v>1.367035121953588E-2</v>
      </c>
      <c r="D1082" s="31">
        <v>2706.39</v>
      </c>
      <c r="E1082" s="28">
        <f t="shared" si="25"/>
        <v>1.0605144127271393E-2</v>
      </c>
    </row>
    <row r="1083" spans="1:5">
      <c r="A1083" s="30">
        <v>43208</v>
      </c>
      <c r="B1083" s="28">
        <v>42.159610999999998</v>
      </c>
      <c r="C1083" s="28">
        <f t="shared" si="25"/>
        <v>-2.2472092606077173E-3</v>
      </c>
      <c r="D1083" s="31">
        <v>2708.64</v>
      </c>
      <c r="E1083" s="28">
        <f t="shared" si="25"/>
        <v>8.310203745819628E-4</v>
      </c>
    </row>
    <row r="1084" spans="1:5">
      <c r="A1084" s="30">
        <v>43209</v>
      </c>
      <c r="B1084" s="28">
        <v>40.964821000000001</v>
      </c>
      <c r="C1084" s="28">
        <f t="shared" si="25"/>
        <v>-2.8749003434881532E-2</v>
      </c>
      <c r="D1084" s="31">
        <v>2693.13</v>
      </c>
      <c r="E1084" s="28">
        <f t="shared" si="25"/>
        <v>-5.7425779413078446E-3</v>
      </c>
    </row>
    <row r="1085" spans="1:5">
      <c r="A1085" s="30">
        <v>43210</v>
      </c>
      <c r="B1085" s="28">
        <v>39.2864</v>
      </c>
      <c r="C1085" s="28">
        <f t="shared" si="25"/>
        <v>-4.1835270996056613E-2</v>
      </c>
      <c r="D1085" s="31">
        <v>2670.14</v>
      </c>
      <c r="E1085" s="28">
        <f t="shared" si="25"/>
        <v>-8.5731804710458409E-3</v>
      </c>
    </row>
    <row r="1086" spans="1:5">
      <c r="A1086" s="30">
        <v>43213</v>
      </c>
      <c r="B1086" s="28">
        <v>39.172604</v>
      </c>
      <c r="C1086" s="28">
        <f t="shared" si="25"/>
        <v>-2.900778087746816E-3</v>
      </c>
      <c r="D1086" s="31">
        <v>2670.29</v>
      </c>
      <c r="E1086" s="28">
        <f t="shared" si="25"/>
        <v>5.6175251820395682E-5</v>
      </c>
    </row>
    <row r="1087" spans="1:5">
      <c r="A1087" s="30">
        <v>43214</v>
      </c>
      <c r="B1087" s="28">
        <v>38.627357000000003</v>
      </c>
      <c r="C1087" s="28">
        <f t="shared" si="25"/>
        <v>-1.4016868906811966E-2</v>
      </c>
      <c r="D1087" s="31">
        <v>2634.56</v>
      </c>
      <c r="E1087" s="28">
        <f t="shared" si="25"/>
        <v>-1.3470895618345118E-2</v>
      </c>
    </row>
    <row r="1088" spans="1:5">
      <c r="A1088" s="30">
        <v>43215</v>
      </c>
      <c r="B1088" s="28">
        <v>38.795673000000001</v>
      </c>
      <c r="C1088" s="28">
        <f t="shared" si="25"/>
        <v>4.347963781959569E-3</v>
      </c>
      <c r="D1088" s="31">
        <v>2639.4</v>
      </c>
      <c r="E1088" s="28">
        <f t="shared" si="25"/>
        <v>1.8354334726678417E-3</v>
      </c>
    </row>
    <row r="1089" spans="1:5">
      <c r="A1089" s="30">
        <v>43216</v>
      </c>
      <c r="B1089" s="28">
        <v>38.930785999999998</v>
      </c>
      <c r="C1089" s="28">
        <f t="shared" si="25"/>
        <v>3.4766317115302739E-3</v>
      </c>
      <c r="D1089" s="31">
        <v>2666.94</v>
      </c>
      <c r="E1089" s="28">
        <f t="shared" si="25"/>
        <v>1.0380129158368218E-2</v>
      </c>
    </row>
    <row r="1090" spans="1:5">
      <c r="A1090" s="30">
        <v>43217</v>
      </c>
      <c r="B1090" s="28">
        <v>38.480373</v>
      </c>
      <c r="C1090" s="28">
        <f t="shared" si="25"/>
        <v>-1.1637032405595936E-2</v>
      </c>
      <c r="D1090" s="31">
        <v>2669.91</v>
      </c>
      <c r="E1090" s="28">
        <f t="shared" si="25"/>
        <v>1.1130162199066156E-3</v>
      </c>
    </row>
    <row r="1091" spans="1:5">
      <c r="A1091" s="30">
        <v>43220</v>
      </c>
      <c r="B1091" s="28">
        <v>39.177340999999998</v>
      </c>
      <c r="C1091" s="28">
        <f t="shared" si="25"/>
        <v>1.7950224857362099E-2</v>
      </c>
      <c r="D1091" s="31">
        <v>2648.05</v>
      </c>
      <c r="E1091" s="28">
        <f t="shared" si="25"/>
        <v>-8.2212439071443575E-3</v>
      </c>
    </row>
    <row r="1092" spans="1:5">
      <c r="A1092" s="30">
        <v>43221</v>
      </c>
      <c r="B1092" s="28">
        <v>40.087668999999998</v>
      </c>
      <c r="C1092" s="28">
        <f t="shared" si="25"/>
        <v>2.2970236833291597E-2</v>
      </c>
      <c r="D1092" s="31">
        <v>2654.8</v>
      </c>
      <c r="E1092" s="28">
        <f t="shared" si="25"/>
        <v>2.5458022179105093E-3</v>
      </c>
    </row>
    <row r="1093" spans="1:5">
      <c r="A1093" s="30">
        <v>43222</v>
      </c>
      <c r="B1093" s="28">
        <v>41.858555000000003</v>
      </c>
      <c r="C1093" s="28">
        <f t="shared" ref="C1093:E1156" si="26">LN(B1093/B1092)</f>
        <v>4.3227415805660203E-2</v>
      </c>
      <c r="D1093" s="31">
        <v>2635.67</v>
      </c>
      <c r="E1093" s="28">
        <f t="shared" si="26"/>
        <v>-7.2319031675897134E-3</v>
      </c>
    </row>
    <row r="1094" spans="1:5">
      <c r="A1094" s="30">
        <v>43223</v>
      </c>
      <c r="B1094" s="28">
        <v>41.93441</v>
      </c>
      <c r="C1094" s="28">
        <f t="shared" si="26"/>
        <v>1.8105343502589348E-3</v>
      </c>
      <c r="D1094" s="31">
        <v>2629.73</v>
      </c>
      <c r="E1094" s="28">
        <f t="shared" si="26"/>
        <v>-2.2562397993906034E-3</v>
      </c>
    </row>
    <row r="1095" spans="1:5">
      <c r="A1095" s="30">
        <v>43224</v>
      </c>
      <c r="B1095" s="28">
        <v>43.579650999999998</v>
      </c>
      <c r="C1095" s="28">
        <f t="shared" si="26"/>
        <v>3.848359027944577E-2</v>
      </c>
      <c r="D1095" s="31">
        <v>2663.42</v>
      </c>
      <c r="E1095" s="28">
        <f t="shared" si="26"/>
        <v>1.2729831933829549E-2</v>
      </c>
    </row>
    <row r="1096" spans="1:5">
      <c r="A1096" s="30">
        <v>43227</v>
      </c>
      <c r="B1096" s="28">
        <v>43.894942999999998</v>
      </c>
      <c r="C1096" s="28">
        <f t="shared" si="26"/>
        <v>7.2087986002254759E-3</v>
      </c>
      <c r="D1096" s="31">
        <v>2672.63</v>
      </c>
      <c r="E1096" s="28">
        <f t="shared" si="26"/>
        <v>3.451995069662222E-3</v>
      </c>
    </row>
    <row r="1097" spans="1:5">
      <c r="A1097" s="30">
        <v>43228</v>
      </c>
      <c r="B1097" s="28">
        <v>44.105915000000003</v>
      </c>
      <c r="C1097" s="28">
        <f t="shared" si="26"/>
        <v>4.7947806187448134E-3</v>
      </c>
      <c r="D1097" s="31">
        <v>2671.92</v>
      </c>
      <c r="E1097" s="28">
        <f t="shared" si="26"/>
        <v>-2.6569121971978244E-4</v>
      </c>
    </row>
    <row r="1098" spans="1:5">
      <c r="A1098" s="30">
        <v>43229</v>
      </c>
      <c r="B1098" s="28">
        <v>44.416480999999997</v>
      </c>
      <c r="C1098" s="28">
        <f t="shared" si="26"/>
        <v>7.0166938138293616E-3</v>
      </c>
      <c r="D1098" s="31">
        <v>2697.79</v>
      </c>
      <c r="E1098" s="28">
        <f t="shared" si="26"/>
        <v>9.6356042161504785E-3</v>
      </c>
    </row>
    <row r="1099" spans="1:5">
      <c r="A1099" s="30">
        <v>43230</v>
      </c>
      <c r="B1099" s="28">
        <v>45.051811000000001</v>
      </c>
      <c r="C1099" s="28">
        <f t="shared" si="26"/>
        <v>1.4202588767844818E-2</v>
      </c>
      <c r="D1099" s="31">
        <v>2723.07</v>
      </c>
      <c r="E1099" s="28">
        <f t="shared" si="26"/>
        <v>9.3270009795039417E-3</v>
      </c>
    </row>
    <row r="1100" spans="1:5">
      <c r="A1100" s="30">
        <v>43231</v>
      </c>
      <c r="B1100" s="28">
        <v>44.880470000000003</v>
      </c>
      <c r="C1100" s="28">
        <f t="shared" si="26"/>
        <v>-3.8104494940093929E-3</v>
      </c>
      <c r="D1100" s="31">
        <v>2727.72</v>
      </c>
      <c r="E1100" s="28">
        <f t="shared" si="26"/>
        <v>1.7061751151760478E-3</v>
      </c>
    </row>
    <row r="1101" spans="1:5">
      <c r="A1101" s="30">
        <v>43234</v>
      </c>
      <c r="B1101" s="28">
        <v>44.775753000000002</v>
      </c>
      <c r="C1101" s="28">
        <f t="shared" si="26"/>
        <v>-2.3359683045727142E-3</v>
      </c>
      <c r="D1101" s="31">
        <v>2730.13</v>
      </c>
      <c r="E1101" s="28">
        <f t="shared" si="26"/>
        <v>8.8313169348161837E-4</v>
      </c>
    </row>
    <row r="1102" spans="1:5">
      <c r="A1102" s="30">
        <v>43235</v>
      </c>
      <c r="B1102" s="28">
        <v>44.368805000000002</v>
      </c>
      <c r="C1102" s="28">
        <f t="shared" si="26"/>
        <v>-9.1301328097962587E-3</v>
      </c>
      <c r="D1102" s="31">
        <v>2711.45</v>
      </c>
      <c r="E1102" s="28">
        <f t="shared" si="26"/>
        <v>-6.8656799596488963E-3</v>
      </c>
    </row>
    <row r="1103" spans="1:5">
      <c r="A1103" s="30">
        <v>43236</v>
      </c>
      <c r="B1103" s="28">
        <v>44.782893999999999</v>
      </c>
      <c r="C1103" s="28">
        <f t="shared" si="26"/>
        <v>9.2896037320207101E-3</v>
      </c>
      <c r="D1103" s="31">
        <v>2722.46</v>
      </c>
      <c r="E1103" s="28">
        <f t="shared" si="26"/>
        <v>4.0523361876279775E-3</v>
      </c>
    </row>
    <row r="1104" spans="1:5">
      <c r="A1104" s="30">
        <v>43237</v>
      </c>
      <c r="B1104" s="28">
        <v>44.499701999999999</v>
      </c>
      <c r="C1104" s="28">
        <f t="shared" si="26"/>
        <v>-6.3437436274657059E-3</v>
      </c>
      <c r="D1104" s="31">
        <v>2720.13</v>
      </c>
      <c r="E1104" s="28">
        <f t="shared" si="26"/>
        <v>-8.562100552650634E-4</v>
      </c>
    </row>
    <row r="1105" spans="1:5">
      <c r="A1105" s="30">
        <v>43238</v>
      </c>
      <c r="B1105" s="28">
        <v>44.337871999999997</v>
      </c>
      <c r="C1105" s="28">
        <f t="shared" si="26"/>
        <v>-3.6432822671237106E-3</v>
      </c>
      <c r="D1105" s="31">
        <v>2712.97</v>
      </c>
      <c r="E1105" s="28">
        <f t="shared" si="26"/>
        <v>-2.6356975373117938E-3</v>
      </c>
    </row>
    <row r="1106" spans="1:5">
      <c r="A1106" s="30">
        <v>43241</v>
      </c>
      <c r="B1106" s="28">
        <v>44.652008000000002</v>
      </c>
      <c r="C1106" s="28">
        <f t="shared" si="26"/>
        <v>7.0600680623423223E-3</v>
      </c>
      <c r="D1106" s="31">
        <v>2733.01</v>
      </c>
      <c r="E1106" s="28">
        <f t="shared" si="26"/>
        <v>7.3595901759010559E-3</v>
      </c>
    </row>
    <row r="1107" spans="1:5">
      <c r="A1107" s="30">
        <v>43242</v>
      </c>
      <c r="B1107" s="28">
        <v>44.540168999999999</v>
      </c>
      <c r="C1107" s="28">
        <f t="shared" si="26"/>
        <v>-2.5078221515897198E-3</v>
      </c>
      <c r="D1107" s="31">
        <v>2724.44</v>
      </c>
      <c r="E1107" s="28">
        <f t="shared" si="26"/>
        <v>-3.1406635129493403E-3</v>
      </c>
    </row>
    <row r="1108" spans="1:5">
      <c r="A1108" s="30">
        <v>43243</v>
      </c>
      <c r="B1108" s="28">
        <v>44.825736999999997</v>
      </c>
      <c r="C1108" s="28">
        <f t="shared" si="26"/>
        <v>6.391004909636888E-3</v>
      </c>
      <c r="D1108" s="31">
        <v>2733.29</v>
      </c>
      <c r="E1108" s="28">
        <f t="shared" si="26"/>
        <v>3.2431094088002069E-3</v>
      </c>
    </row>
    <row r="1109" spans="1:5">
      <c r="A1109" s="30">
        <v>43244</v>
      </c>
      <c r="B1109" s="28">
        <v>44.775753000000002</v>
      </c>
      <c r="C1109" s="28">
        <f t="shared" si="26"/>
        <v>-1.1156958480246061E-3</v>
      </c>
      <c r="D1109" s="31">
        <v>2727.76</v>
      </c>
      <c r="E1109" s="28">
        <f t="shared" si="26"/>
        <v>-2.0252522464269634E-3</v>
      </c>
    </row>
    <row r="1110" spans="1:5">
      <c r="A1110" s="30">
        <v>43245</v>
      </c>
      <c r="B1110" s="28">
        <v>44.878081999999999</v>
      </c>
      <c r="C1110" s="28">
        <f t="shared" si="26"/>
        <v>2.28275889004094E-3</v>
      </c>
      <c r="D1110" s="31">
        <v>2721.33</v>
      </c>
      <c r="E1110" s="28">
        <f t="shared" si="26"/>
        <v>-2.3600281824850003E-3</v>
      </c>
    </row>
    <row r="1111" spans="1:5">
      <c r="A1111" s="30">
        <v>43249</v>
      </c>
      <c r="B1111" s="28">
        <v>44.716262999999998</v>
      </c>
      <c r="C1111" s="28">
        <f t="shared" si="26"/>
        <v>-3.6122631614117487E-3</v>
      </c>
      <c r="D1111" s="31">
        <v>2689.86</v>
      </c>
      <c r="E1111" s="28">
        <f t="shared" si="26"/>
        <v>-1.1631583739263906E-2</v>
      </c>
    </row>
    <row r="1112" spans="1:5">
      <c r="A1112" s="30">
        <v>43250</v>
      </c>
      <c r="B1112" s="28">
        <v>44.621074999999998</v>
      </c>
      <c r="C1112" s="28">
        <f t="shared" si="26"/>
        <v>-2.1309799049826664E-3</v>
      </c>
      <c r="D1112" s="31">
        <v>2724.01</v>
      </c>
      <c r="E1112" s="28">
        <f t="shared" si="26"/>
        <v>1.2615911702766044E-2</v>
      </c>
    </row>
    <row r="1113" spans="1:5">
      <c r="A1113" s="30">
        <v>43251</v>
      </c>
      <c r="B1113" s="28">
        <v>44.471133999999999</v>
      </c>
      <c r="C1113" s="28">
        <f t="shared" si="26"/>
        <v>-3.3659765146633377E-3</v>
      </c>
      <c r="D1113" s="31">
        <v>2705.27</v>
      </c>
      <c r="E1113" s="28">
        <f t="shared" si="26"/>
        <v>-6.9033368781207007E-3</v>
      </c>
    </row>
    <row r="1114" spans="1:5">
      <c r="A1114" s="30">
        <v>43252</v>
      </c>
      <c r="B1114" s="28">
        <v>45.273136000000001</v>
      </c>
      <c r="C1114" s="28">
        <f t="shared" si="26"/>
        <v>1.7873527763196052E-2</v>
      </c>
      <c r="D1114" s="31">
        <v>2734.62</v>
      </c>
      <c r="E1114" s="28">
        <f t="shared" si="26"/>
        <v>1.079076407564197E-2</v>
      </c>
    </row>
    <row r="1115" spans="1:5">
      <c r="A1115" s="30">
        <v>43255</v>
      </c>
      <c r="B1115" s="28">
        <v>45.651524000000002</v>
      </c>
      <c r="C1115" s="28">
        <f t="shared" si="26"/>
        <v>8.3231586326287122E-3</v>
      </c>
      <c r="D1115" s="31">
        <v>2746.87</v>
      </c>
      <c r="E1115" s="28">
        <f t="shared" si="26"/>
        <v>4.4695950894616818E-3</v>
      </c>
    </row>
    <row r="1116" spans="1:5">
      <c r="A1116" s="30">
        <v>43256</v>
      </c>
      <c r="B1116" s="28">
        <v>46.003723000000001</v>
      </c>
      <c r="C1116" s="28">
        <f t="shared" si="26"/>
        <v>7.6853370660531122E-3</v>
      </c>
      <c r="D1116" s="31">
        <v>2748.8</v>
      </c>
      <c r="E1116" s="28">
        <f t="shared" si="26"/>
        <v>7.0237116833561891E-4</v>
      </c>
    </row>
    <row r="1117" spans="1:5">
      <c r="A1117" s="30">
        <v>43257</v>
      </c>
      <c r="B1117" s="28">
        <v>46.163173999999998</v>
      </c>
      <c r="C1117" s="28">
        <f t="shared" si="26"/>
        <v>3.460052671154539E-3</v>
      </c>
      <c r="D1117" s="31">
        <v>2772.35</v>
      </c>
      <c r="E1117" s="28">
        <f t="shared" si="26"/>
        <v>8.5308831756656898E-3</v>
      </c>
    </row>
    <row r="1118" spans="1:5">
      <c r="A1118" s="30">
        <v>43258</v>
      </c>
      <c r="B1118" s="28">
        <v>46.039425000000001</v>
      </c>
      <c r="C1118" s="28">
        <f t="shared" si="26"/>
        <v>-2.6842860320018891E-3</v>
      </c>
      <c r="D1118" s="31">
        <v>2770.37</v>
      </c>
      <c r="E1118" s="28">
        <f t="shared" si="26"/>
        <v>-7.1445069721093465E-4</v>
      </c>
    </row>
    <row r="1119" spans="1:5">
      <c r="A1119" s="30">
        <v>43259</v>
      </c>
      <c r="B1119" s="28">
        <v>45.620578999999999</v>
      </c>
      <c r="C1119" s="28">
        <f t="shared" si="26"/>
        <v>-9.139186058270625E-3</v>
      </c>
      <c r="D1119" s="31">
        <v>2779.03</v>
      </c>
      <c r="E1119" s="28">
        <f t="shared" si="26"/>
        <v>3.1210606659344705E-3</v>
      </c>
    </row>
    <row r="1120" spans="1:5">
      <c r="A1120" s="30">
        <v>43262</v>
      </c>
      <c r="B1120" s="28">
        <v>45.508724000000001</v>
      </c>
      <c r="C1120" s="28">
        <f t="shared" si="26"/>
        <v>-2.4548647359502189E-3</v>
      </c>
      <c r="D1120" s="31">
        <v>2782</v>
      </c>
      <c r="E1120" s="28">
        <f t="shared" si="26"/>
        <v>1.0681475490628696E-3</v>
      </c>
    </row>
    <row r="1121" spans="1:5">
      <c r="A1121" s="30">
        <v>43263</v>
      </c>
      <c r="B1121" s="28">
        <v>45.758609999999997</v>
      </c>
      <c r="C1121" s="28">
        <f t="shared" si="26"/>
        <v>5.4759268944674774E-3</v>
      </c>
      <c r="D1121" s="31">
        <v>2786.85</v>
      </c>
      <c r="E1121" s="28">
        <f t="shared" si="26"/>
        <v>1.7418322369011133E-3</v>
      </c>
    </row>
    <row r="1122" spans="1:5">
      <c r="A1122" s="30">
        <v>43264</v>
      </c>
      <c r="B1122" s="28">
        <v>45.382595000000002</v>
      </c>
      <c r="C1122" s="28">
        <f t="shared" si="26"/>
        <v>-8.2513092378932208E-3</v>
      </c>
      <c r="D1122" s="31">
        <v>2775.63</v>
      </c>
      <c r="E1122" s="28">
        <f t="shared" si="26"/>
        <v>-4.0341772794630594E-3</v>
      </c>
    </row>
    <row r="1123" spans="1:5">
      <c r="A1123" s="30">
        <v>43265</v>
      </c>
      <c r="B1123" s="28">
        <v>45.406395000000003</v>
      </c>
      <c r="C1123" s="28">
        <f t="shared" si="26"/>
        <v>5.2429266027057312E-4</v>
      </c>
      <c r="D1123" s="31">
        <v>2782.49</v>
      </c>
      <c r="E1123" s="28">
        <f t="shared" si="26"/>
        <v>2.4684618120292836E-3</v>
      </c>
    </row>
    <row r="1124" spans="1:5">
      <c r="A1124" s="30">
        <v>43266</v>
      </c>
      <c r="B1124" s="28">
        <v>44.939953000000003</v>
      </c>
      <c r="C1124" s="28">
        <f t="shared" si="26"/>
        <v>-1.0325733240697573E-2</v>
      </c>
      <c r="D1124" s="31">
        <v>2779.66</v>
      </c>
      <c r="E1124" s="28">
        <f t="shared" si="26"/>
        <v>-1.0175922059649557E-3</v>
      </c>
    </row>
    <row r="1125" spans="1:5">
      <c r="A1125" s="30">
        <v>43269</v>
      </c>
      <c r="B1125" s="28">
        <v>44.916164000000002</v>
      </c>
      <c r="C1125" s="28">
        <f t="shared" si="26"/>
        <v>-5.2949095398349547E-4</v>
      </c>
      <c r="D1125" s="31">
        <v>2773.75</v>
      </c>
      <c r="E1125" s="28">
        <f t="shared" si="26"/>
        <v>-2.1284228000868419E-3</v>
      </c>
    </row>
    <row r="1126" spans="1:5">
      <c r="A1126" s="30">
        <v>43270</v>
      </c>
      <c r="B1126" s="28">
        <v>44.190327000000003</v>
      </c>
      <c r="C1126" s="28">
        <f t="shared" si="26"/>
        <v>-1.6291810984263948E-2</v>
      </c>
      <c r="D1126" s="31">
        <v>2762.59</v>
      </c>
      <c r="E1126" s="28">
        <f t="shared" si="26"/>
        <v>-4.0315497659651062E-3</v>
      </c>
    </row>
    <row r="1127" spans="1:5">
      <c r="A1127" s="30">
        <v>43271</v>
      </c>
      <c r="B1127" s="28">
        <v>44.383082999999999</v>
      </c>
      <c r="C1127" s="28">
        <f t="shared" si="26"/>
        <v>4.3524643410816763E-3</v>
      </c>
      <c r="D1127" s="31">
        <v>2767.32</v>
      </c>
      <c r="E1127" s="28">
        <f t="shared" si="26"/>
        <v>1.7106973363122029E-3</v>
      </c>
    </row>
    <row r="1128" spans="1:5">
      <c r="A1128" s="30">
        <v>43272</v>
      </c>
      <c r="B1128" s="28">
        <v>44.135593</v>
      </c>
      <c r="C1128" s="28">
        <f t="shared" si="26"/>
        <v>-5.5918288901532073E-3</v>
      </c>
      <c r="D1128" s="31">
        <v>2749.76</v>
      </c>
      <c r="E1128" s="28">
        <f t="shared" si="26"/>
        <v>-6.3657076922923536E-3</v>
      </c>
    </row>
    <row r="1129" spans="1:5">
      <c r="A1129" s="30">
        <v>43273</v>
      </c>
      <c r="B1129" s="28">
        <v>44.007072000000001</v>
      </c>
      <c r="C1129" s="28">
        <f t="shared" si="26"/>
        <v>-2.9162061546766432E-3</v>
      </c>
      <c r="D1129" s="31">
        <v>2754.88</v>
      </c>
      <c r="E1129" s="28">
        <f t="shared" si="26"/>
        <v>1.8602493447316098E-3</v>
      </c>
    </row>
    <row r="1130" spans="1:5">
      <c r="A1130" s="30">
        <v>43276</v>
      </c>
      <c r="B1130" s="28">
        <v>43.352646</v>
      </c>
      <c r="C1130" s="28">
        <f t="shared" si="26"/>
        <v>-1.4982608849656388E-2</v>
      </c>
      <c r="D1130" s="31">
        <v>2717.07</v>
      </c>
      <c r="E1130" s="28">
        <f t="shared" si="26"/>
        <v>-1.3819790665146471E-2</v>
      </c>
    </row>
    <row r="1131" spans="1:5">
      <c r="A1131" s="30">
        <v>43277</v>
      </c>
      <c r="B1131" s="28">
        <v>43.890472000000003</v>
      </c>
      <c r="C1131" s="28">
        <f t="shared" si="26"/>
        <v>1.2329518374351924E-2</v>
      </c>
      <c r="D1131" s="31">
        <v>2723.06</v>
      </c>
      <c r="E1131" s="28">
        <f t="shared" si="26"/>
        <v>2.2021541473088704E-3</v>
      </c>
    </row>
    <row r="1132" spans="1:5">
      <c r="A1132" s="30">
        <v>43278</v>
      </c>
      <c r="B1132" s="28">
        <v>43.826228999999998</v>
      </c>
      <c r="C1132" s="28">
        <f t="shared" si="26"/>
        <v>-1.4647840320992677E-3</v>
      </c>
      <c r="D1132" s="31">
        <v>2699.63</v>
      </c>
      <c r="E1132" s="28">
        <f t="shared" si="26"/>
        <v>-8.6415213868015241E-3</v>
      </c>
    </row>
    <row r="1133" spans="1:5">
      <c r="A1133" s="30">
        <v>43279</v>
      </c>
      <c r="B1133" s="28">
        <v>44.145111</v>
      </c>
      <c r="C1133" s="28">
        <f t="shared" si="26"/>
        <v>7.2497110230907011E-3</v>
      </c>
      <c r="D1133" s="31">
        <v>2716.31</v>
      </c>
      <c r="E1133" s="28">
        <f t="shared" si="26"/>
        <v>6.1596150392206625E-3</v>
      </c>
    </row>
    <row r="1134" spans="1:5">
      <c r="A1134" s="30">
        <v>43280</v>
      </c>
      <c r="B1134" s="28">
        <v>44.052303000000002</v>
      </c>
      <c r="C1134" s="28">
        <f t="shared" si="26"/>
        <v>-2.104552277575133E-3</v>
      </c>
      <c r="D1134" s="31">
        <v>2718.37</v>
      </c>
      <c r="E1134" s="28">
        <f t="shared" si="26"/>
        <v>7.5809434912754855E-4</v>
      </c>
    </row>
    <row r="1135" spans="1:5">
      <c r="A1135" s="30">
        <v>43283</v>
      </c>
      <c r="B1135" s="28">
        <v>44.544918000000003</v>
      </c>
      <c r="C1135" s="28">
        <f t="shared" si="26"/>
        <v>1.1120440821946255E-2</v>
      </c>
      <c r="D1135" s="31">
        <v>2726.71</v>
      </c>
      <c r="E1135" s="28">
        <f t="shared" si="26"/>
        <v>3.0633182696388058E-3</v>
      </c>
    </row>
    <row r="1136" spans="1:5">
      <c r="A1136" s="30">
        <v>43284</v>
      </c>
      <c r="B1136" s="28">
        <v>43.769103999999999</v>
      </c>
      <c r="C1136" s="28">
        <f t="shared" si="26"/>
        <v>-1.7569892984516982E-2</v>
      </c>
      <c r="D1136" s="31">
        <v>2713.22</v>
      </c>
      <c r="E1136" s="28">
        <f t="shared" si="26"/>
        <v>-4.959632808581322E-3</v>
      </c>
    </row>
    <row r="1137" spans="1:5">
      <c r="A1137" s="30">
        <v>43286</v>
      </c>
      <c r="B1137" s="28">
        <v>44.121322999999997</v>
      </c>
      <c r="C1137" s="28">
        <f t="shared" si="26"/>
        <v>8.0149999851585971E-3</v>
      </c>
      <c r="D1137" s="31">
        <v>2736.61</v>
      </c>
      <c r="E1137" s="28">
        <f t="shared" si="26"/>
        <v>8.5838066940842651E-3</v>
      </c>
    </row>
    <row r="1138" spans="1:5">
      <c r="A1138" s="30">
        <v>43287</v>
      </c>
      <c r="B1138" s="28">
        <v>44.732922000000002</v>
      </c>
      <c r="C1138" s="28">
        <f t="shared" si="26"/>
        <v>1.3766560259753091E-2</v>
      </c>
      <c r="D1138" s="31">
        <v>2759.82</v>
      </c>
      <c r="E1138" s="28">
        <f t="shared" si="26"/>
        <v>8.4455320847041989E-3</v>
      </c>
    </row>
    <row r="1139" spans="1:5">
      <c r="A1139" s="30">
        <v>43290</v>
      </c>
      <c r="B1139" s="28">
        <v>45.354042</v>
      </c>
      <c r="C1139" s="28">
        <f t="shared" si="26"/>
        <v>1.3789560989888029E-2</v>
      </c>
      <c r="D1139" s="31">
        <v>2784.17</v>
      </c>
      <c r="E1139" s="28">
        <f t="shared" si="26"/>
        <v>8.7843436152737018E-3</v>
      </c>
    </row>
    <row r="1140" spans="1:5">
      <c r="A1140" s="30">
        <v>43291</v>
      </c>
      <c r="B1140" s="28">
        <v>45.299309000000001</v>
      </c>
      <c r="C1140" s="28">
        <f t="shared" si="26"/>
        <v>-1.2075230765725862E-3</v>
      </c>
      <c r="D1140" s="31">
        <v>2793.84</v>
      </c>
      <c r="E1140" s="28">
        <f t="shared" si="26"/>
        <v>3.4671897996766143E-3</v>
      </c>
    </row>
    <row r="1141" spans="1:5">
      <c r="A1141" s="30">
        <v>43292</v>
      </c>
      <c r="B1141" s="28">
        <v>44.711502000000003</v>
      </c>
      <c r="C1141" s="28">
        <f t="shared" si="26"/>
        <v>-1.3060994553686376E-2</v>
      </c>
      <c r="D1141" s="31">
        <v>2774.02</v>
      </c>
      <c r="E1141" s="28">
        <f t="shared" si="26"/>
        <v>-7.1194619539736125E-3</v>
      </c>
    </row>
    <row r="1142" spans="1:5">
      <c r="A1142" s="30">
        <v>43293</v>
      </c>
      <c r="B1142" s="28">
        <v>45.461131999999999</v>
      </c>
      <c r="C1142" s="28">
        <f t="shared" si="26"/>
        <v>1.6626935170424725E-2</v>
      </c>
      <c r="D1142" s="31">
        <v>2798.29</v>
      </c>
      <c r="E1142" s="28">
        <f t="shared" si="26"/>
        <v>8.7109846615288089E-3</v>
      </c>
    </row>
    <row r="1143" spans="1:5">
      <c r="A1143" s="30">
        <v>43294</v>
      </c>
      <c r="B1143" s="28">
        <v>45.532532000000003</v>
      </c>
      <c r="C1143" s="28">
        <f t="shared" si="26"/>
        <v>1.569340358771186E-3</v>
      </c>
      <c r="D1143" s="31">
        <v>2801.31</v>
      </c>
      <c r="E1143" s="28">
        <f t="shared" si="26"/>
        <v>1.0786485794734959E-3</v>
      </c>
    </row>
    <row r="1144" spans="1:5">
      <c r="A1144" s="30">
        <v>43297</v>
      </c>
      <c r="B1144" s="28">
        <v>45.432578999999997</v>
      </c>
      <c r="C1144" s="28">
        <f t="shared" si="26"/>
        <v>-2.1976126699154242E-3</v>
      </c>
      <c r="D1144" s="31">
        <v>2798.43</v>
      </c>
      <c r="E1144" s="28">
        <f t="shared" si="26"/>
        <v>-1.0286192765856391E-3</v>
      </c>
    </row>
    <row r="1145" spans="1:5">
      <c r="A1145" s="30">
        <v>43298</v>
      </c>
      <c r="B1145" s="28">
        <v>45.561084999999999</v>
      </c>
      <c r="C1145" s="28">
        <f t="shared" si="26"/>
        <v>2.8245062300886791E-3</v>
      </c>
      <c r="D1145" s="31">
        <v>2809.55</v>
      </c>
      <c r="E1145" s="28">
        <f t="shared" si="26"/>
        <v>3.9657825363438081E-3</v>
      </c>
    </row>
    <row r="1146" spans="1:5">
      <c r="A1146" s="30">
        <v>43299</v>
      </c>
      <c r="B1146" s="28">
        <v>45.311199000000002</v>
      </c>
      <c r="C1146" s="28">
        <f t="shared" si="26"/>
        <v>-5.4997325666289584E-3</v>
      </c>
      <c r="D1146" s="31">
        <v>2815.62</v>
      </c>
      <c r="E1146" s="28">
        <f t="shared" si="26"/>
        <v>2.1581578355824118E-3</v>
      </c>
    </row>
    <row r="1147" spans="1:5">
      <c r="A1147" s="30">
        <v>43300</v>
      </c>
      <c r="B1147" s="28">
        <v>45.663421999999997</v>
      </c>
      <c r="C1147" s="28">
        <f t="shared" si="26"/>
        <v>7.7433630623098505E-3</v>
      </c>
      <c r="D1147" s="31">
        <v>2804.49</v>
      </c>
      <c r="E1147" s="28">
        <f t="shared" si="26"/>
        <v>-3.9607817464154278E-3</v>
      </c>
    </row>
    <row r="1148" spans="1:5">
      <c r="A1148" s="30">
        <v>43301</v>
      </c>
      <c r="B1148" s="28">
        <v>45.558712</v>
      </c>
      <c r="C1148" s="28">
        <f t="shared" si="26"/>
        <v>-2.295715774152923E-3</v>
      </c>
      <c r="D1148" s="31">
        <v>2801.83</v>
      </c>
      <c r="E1148" s="28">
        <f t="shared" si="26"/>
        <v>-9.489291369751974E-4</v>
      </c>
    </row>
    <row r="1149" spans="1:5">
      <c r="A1149" s="30">
        <v>43304</v>
      </c>
      <c r="B1149" s="28">
        <v>45.599162999999997</v>
      </c>
      <c r="C1149" s="28">
        <f t="shared" si="26"/>
        <v>8.8749332199951814E-4</v>
      </c>
      <c r="D1149" s="31">
        <v>2806.98</v>
      </c>
      <c r="E1149" s="28">
        <f t="shared" si="26"/>
        <v>1.8363971848938719E-3</v>
      </c>
    </row>
    <row r="1150" spans="1:5">
      <c r="A1150" s="30">
        <v>43305</v>
      </c>
      <c r="B1150" s="28">
        <v>45.929955</v>
      </c>
      <c r="C1150" s="28">
        <f t="shared" si="26"/>
        <v>7.228157496703397E-3</v>
      </c>
      <c r="D1150" s="31">
        <v>2820.4</v>
      </c>
      <c r="E1150" s="28">
        <f t="shared" si="26"/>
        <v>4.7695465529177935E-3</v>
      </c>
    </row>
    <row r="1151" spans="1:5">
      <c r="A1151" s="30">
        <v>43306</v>
      </c>
      <c r="B1151" s="28">
        <v>46.363070999999998</v>
      </c>
      <c r="C1151" s="28">
        <f t="shared" si="26"/>
        <v>9.3857401425790701E-3</v>
      </c>
      <c r="D1151" s="31">
        <v>2846.07</v>
      </c>
      <c r="E1151" s="28">
        <f t="shared" si="26"/>
        <v>9.060376426541358E-3</v>
      </c>
    </row>
    <row r="1152" spans="1:5">
      <c r="A1152" s="30">
        <v>43307</v>
      </c>
      <c r="B1152" s="28">
        <v>46.217914999999998</v>
      </c>
      <c r="C1152" s="28">
        <f t="shared" si="26"/>
        <v>-3.1357652411158083E-3</v>
      </c>
      <c r="D1152" s="31">
        <v>2837.44</v>
      </c>
      <c r="E1152" s="28">
        <f t="shared" si="26"/>
        <v>-3.0368580797846918E-3</v>
      </c>
    </row>
    <row r="1153" spans="1:5">
      <c r="A1153" s="30">
        <v>43308</v>
      </c>
      <c r="B1153" s="28">
        <v>45.44923</v>
      </c>
      <c r="C1153" s="28">
        <f t="shared" si="26"/>
        <v>-1.6771614701082852E-2</v>
      </c>
      <c r="D1153" s="31">
        <v>2818.82</v>
      </c>
      <c r="E1153" s="28">
        <f t="shared" si="26"/>
        <v>-6.5838795461225143E-3</v>
      </c>
    </row>
    <row r="1154" spans="1:5">
      <c r="A1154" s="30">
        <v>43311</v>
      </c>
      <c r="B1154" s="28">
        <v>45.194598999999997</v>
      </c>
      <c r="C1154" s="28">
        <f t="shared" si="26"/>
        <v>-5.6182902376996739E-3</v>
      </c>
      <c r="D1154" s="31">
        <v>2802.6</v>
      </c>
      <c r="E1154" s="28">
        <f t="shared" si="26"/>
        <v>-5.7707999094024024E-3</v>
      </c>
    </row>
    <row r="1155" spans="1:5">
      <c r="A1155" s="30">
        <v>43312</v>
      </c>
      <c r="B1155" s="28">
        <v>45.285038</v>
      </c>
      <c r="C1155" s="28">
        <f t="shared" si="26"/>
        <v>1.9991024084077963E-3</v>
      </c>
      <c r="D1155" s="31">
        <v>2816.29</v>
      </c>
      <c r="E1155" s="28">
        <f t="shared" si="26"/>
        <v>4.8728581939806326E-3</v>
      </c>
    </row>
    <row r="1156" spans="1:5">
      <c r="A1156" s="30">
        <v>43313</v>
      </c>
      <c r="B1156" s="28">
        <v>47.952781999999999</v>
      </c>
      <c r="C1156" s="28">
        <f t="shared" si="26"/>
        <v>5.7240127459460596E-2</v>
      </c>
      <c r="D1156" s="31">
        <v>2813.36</v>
      </c>
      <c r="E1156" s="28">
        <f t="shared" si="26"/>
        <v>-1.0409173801414606E-3</v>
      </c>
    </row>
    <row r="1157" spans="1:5">
      <c r="A1157" s="30">
        <v>43314</v>
      </c>
      <c r="B1157" s="28">
        <v>49.354472999999999</v>
      </c>
      <c r="C1157" s="28">
        <f t="shared" ref="C1157:E1220" si="27">LN(B1157/B1156)</f>
        <v>2.8811581653985462E-2</v>
      </c>
      <c r="D1157" s="31">
        <v>2827.22</v>
      </c>
      <c r="E1157" s="28">
        <f t="shared" si="27"/>
        <v>4.914398127409042E-3</v>
      </c>
    </row>
    <row r="1158" spans="1:5">
      <c r="A1158" s="30">
        <v>43315</v>
      </c>
      <c r="B1158" s="28">
        <v>49.497269000000003</v>
      </c>
      <c r="C1158" s="28">
        <f t="shared" si="27"/>
        <v>2.8890962654973024E-3</v>
      </c>
      <c r="D1158" s="31">
        <v>2840.35</v>
      </c>
      <c r="E1158" s="28">
        <f t="shared" si="27"/>
        <v>4.6333873211502116E-3</v>
      </c>
    </row>
    <row r="1159" spans="1:5">
      <c r="A1159" s="30">
        <v>43318</v>
      </c>
      <c r="B1159" s="28">
        <v>49.754280000000001</v>
      </c>
      <c r="C1159" s="28">
        <f t="shared" si="27"/>
        <v>5.1789937195165624E-3</v>
      </c>
      <c r="D1159" s="31">
        <v>2850.4</v>
      </c>
      <c r="E1159" s="28">
        <f t="shared" si="27"/>
        <v>3.5320512931104955E-3</v>
      </c>
    </row>
    <row r="1160" spans="1:5">
      <c r="A1160" s="30">
        <v>43319</v>
      </c>
      <c r="B1160" s="28">
        <v>49.287841999999998</v>
      </c>
      <c r="C1160" s="28">
        <f t="shared" si="27"/>
        <v>-9.4190519962766579E-3</v>
      </c>
      <c r="D1160" s="31">
        <v>2858.45</v>
      </c>
      <c r="E1160" s="28">
        <f t="shared" si="27"/>
        <v>2.8201845679715165E-3</v>
      </c>
    </row>
    <row r="1161" spans="1:5">
      <c r="A1161" s="30">
        <v>43320</v>
      </c>
      <c r="B1161" s="28">
        <v>49.321143999999997</v>
      </c>
      <c r="C1161" s="28">
        <f t="shared" si="27"/>
        <v>6.7543542666730918E-4</v>
      </c>
      <c r="D1161" s="31">
        <v>2857.7</v>
      </c>
      <c r="E1161" s="28">
        <f t="shared" si="27"/>
        <v>-2.6241438881196129E-4</v>
      </c>
    </row>
    <row r="1162" spans="1:5">
      <c r="A1162" s="30">
        <v>43321</v>
      </c>
      <c r="B1162" s="28">
        <v>49.709063999999998</v>
      </c>
      <c r="C1162" s="28">
        <f t="shared" si="27"/>
        <v>7.8344172345299144E-3</v>
      </c>
      <c r="D1162" s="31">
        <v>2853.58</v>
      </c>
      <c r="E1162" s="28">
        <f t="shared" si="27"/>
        <v>-1.4427591414417902E-3</v>
      </c>
    </row>
    <row r="1163" spans="1:5">
      <c r="A1163" s="30">
        <v>43322</v>
      </c>
      <c r="B1163" s="28">
        <v>49.561008000000001</v>
      </c>
      <c r="C1163" s="28">
        <f t="shared" si="27"/>
        <v>-2.9828951827365808E-3</v>
      </c>
      <c r="D1163" s="31">
        <v>2833.28</v>
      </c>
      <c r="E1163" s="28">
        <f t="shared" si="27"/>
        <v>-7.1392952256226182E-3</v>
      </c>
    </row>
    <row r="1164" spans="1:5">
      <c r="A1164" s="30">
        <v>43325</v>
      </c>
      <c r="B1164" s="28">
        <v>49.881008000000001</v>
      </c>
      <c r="C1164" s="28">
        <f t="shared" si="27"/>
        <v>6.4359335708894091E-3</v>
      </c>
      <c r="D1164" s="31">
        <v>2821.93</v>
      </c>
      <c r="E1164" s="28">
        <f t="shared" si="27"/>
        <v>-4.0140031013779489E-3</v>
      </c>
    </row>
    <row r="1165" spans="1:5">
      <c r="A1165" s="30">
        <v>43326</v>
      </c>
      <c r="B1165" s="28">
        <v>50.091160000000002</v>
      </c>
      <c r="C1165" s="28">
        <f t="shared" si="27"/>
        <v>4.2042163083611216E-3</v>
      </c>
      <c r="D1165" s="31">
        <v>2839.96</v>
      </c>
      <c r="E1165" s="28">
        <f t="shared" si="27"/>
        <v>6.3689195466782979E-3</v>
      </c>
    </row>
    <row r="1166" spans="1:5">
      <c r="A1166" s="30">
        <v>43327</v>
      </c>
      <c r="B1166" s="28">
        <v>50.208179000000001</v>
      </c>
      <c r="C1166" s="28">
        <f t="shared" si="27"/>
        <v>2.3333962967555561E-3</v>
      </c>
      <c r="D1166" s="31">
        <v>2818.37</v>
      </c>
      <c r="E1166" s="28">
        <f t="shared" si="27"/>
        <v>-7.6312639158579937E-3</v>
      </c>
    </row>
    <row r="1167" spans="1:5">
      <c r="A1167" s="30">
        <v>43328</v>
      </c>
      <c r="B1167" s="28">
        <v>50.943728999999998</v>
      </c>
      <c r="C1167" s="28">
        <f t="shared" si="27"/>
        <v>1.4543728928021723E-2</v>
      </c>
      <c r="D1167" s="31">
        <v>2840.69</v>
      </c>
      <c r="E1167" s="28">
        <f t="shared" si="27"/>
        <v>7.8882767591131279E-3</v>
      </c>
    </row>
    <row r="1168" spans="1:5">
      <c r="A1168" s="30">
        <v>43329</v>
      </c>
      <c r="B1168" s="28">
        <v>51.961086000000002</v>
      </c>
      <c r="C1168" s="28">
        <f t="shared" si="27"/>
        <v>1.977342163563716E-2</v>
      </c>
      <c r="D1168" s="31">
        <v>2850.13</v>
      </c>
      <c r="E1168" s="28">
        <f t="shared" si="27"/>
        <v>3.3176268652185398E-3</v>
      </c>
    </row>
    <row r="1169" spans="1:5">
      <c r="A1169" s="30">
        <v>43332</v>
      </c>
      <c r="B1169" s="28">
        <v>51.454791999999998</v>
      </c>
      <c r="C1169" s="28">
        <f t="shared" si="27"/>
        <v>-9.7914953640553908E-3</v>
      </c>
      <c r="D1169" s="31">
        <v>2857.05</v>
      </c>
      <c r="E1169" s="28">
        <f t="shared" si="27"/>
        <v>2.4250166951827559E-3</v>
      </c>
    </row>
    <row r="1170" spans="1:5">
      <c r="A1170" s="30">
        <v>43333</v>
      </c>
      <c r="B1170" s="28">
        <v>51.354484999999997</v>
      </c>
      <c r="C1170" s="28">
        <f t="shared" si="27"/>
        <v>-1.9513225801191226E-3</v>
      </c>
      <c r="D1170" s="31">
        <v>2862.96</v>
      </c>
      <c r="E1170" s="28">
        <f t="shared" si="27"/>
        <v>2.0664306891217009E-3</v>
      </c>
    </row>
    <row r="1171" spans="1:5">
      <c r="A1171" s="30">
        <v>43334</v>
      </c>
      <c r="B1171" s="28">
        <v>51.356879999999997</v>
      </c>
      <c r="C1171" s="28">
        <f t="shared" si="27"/>
        <v>4.6635540291686258E-5</v>
      </c>
      <c r="D1171" s="31">
        <v>2861.82</v>
      </c>
      <c r="E1171" s="28">
        <f t="shared" si="27"/>
        <v>-3.9826858501759574E-4</v>
      </c>
    </row>
    <row r="1172" spans="1:5">
      <c r="A1172" s="30">
        <v>43335</v>
      </c>
      <c r="B1172" s="28">
        <v>51.461951999999997</v>
      </c>
      <c r="C1172" s="28">
        <f t="shared" si="27"/>
        <v>2.0438286359033423E-3</v>
      </c>
      <c r="D1172" s="31">
        <v>2856.98</v>
      </c>
      <c r="E1172" s="28">
        <f t="shared" si="27"/>
        <v>-1.6926632005294403E-3</v>
      </c>
    </row>
    <row r="1173" spans="1:5">
      <c r="A1173" s="30">
        <v>43336</v>
      </c>
      <c r="B1173" s="28">
        <v>51.621966999999998</v>
      </c>
      <c r="C1173" s="28">
        <f t="shared" si="27"/>
        <v>3.1045604411417791E-3</v>
      </c>
      <c r="D1173" s="31">
        <v>2874.69</v>
      </c>
      <c r="E1173" s="28">
        <f t="shared" si="27"/>
        <v>6.1797194745907722E-3</v>
      </c>
    </row>
    <row r="1174" spans="1:5">
      <c r="A1174" s="30">
        <v>43339</v>
      </c>
      <c r="B1174" s="28">
        <v>52.047046999999999</v>
      </c>
      <c r="C1174" s="28">
        <f t="shared" si="27"/>
        <v>8.2007605918609713E-3</v>
      </c>
      <c r="D1174" s="31">
        <v>2896.74</v>
      </c>
      <c r="E1174" s="28">
        <f t="shared" si="27"/>
        <v>7.6411243957242277E-3</v>
      </c>
    </row>
    <row r="1175" spans="1:5">
      <c r="A1175" s="30">
        <v>43340</v>
      </c>
      <c r="B1175" s="28">
        <v>52.467357999999997</v>
      </c>
      <c r="C1175" s="28">
        <f t="shared" si="27"/>
        <v>8.0431643066120086E-3</v>
      </c>
      <c r="D1175" s="31">
        <v>2897.52</v>
      </c>
      <c r="E1175" s="28">
        <f t="shared" si="27"/>
        <v>2.6923196567344023E-4</v>
      </c>
    </row>
    <row r="1176" spans="1:5">
      <c r="A1176" s="30">
        <v>43341</v>
      </c>
      <c r="B1176" s="28">
        <v>53.250667999999997</v>
      </c>
      <c r="C1176" s="28">
        <f t="shared" si="27"/>
        <v>1.4819125263332221E-2</v>
      </c>
      <c r="D1176" s="31">
        <v>2914.04</v>
      </c>
      <c r="E1176" s="28">
        <f t="shared" si="27"/>
        <v>5.6852358046606769E-3</v>
      </c>
    </row>
    <row r="1177" spans="1:5">
      <c r="A1177" s="30">
        <v>43342</v>
      </c>
      <c r="B1177" s="28">
        <v>53.740245999999999</v>
      </c>
      <c r="C1177" s="28">
        <f t="shared" si="27"/>
        <v>9.1518316609092969E-3</v>
      </c>
      <c r="D1177" s="31">
        <v>2901.13</v>
      </c>
      <c r="E1177" s="28">
        <f t="shared" si="27"/>
        <v>-4.4401182457849643E-3</v>
      </c>
    </row>
    <row r="1178" spans="1:5">
      <c r="A1178" s="30">
        <v>43343</v>
      </c>
      <c r="B1178" s="28">
        <v>54.361148999999997</v>
      </c>
      <c r="C1178" s="28">
        <f t="shared" si="27"/>
        <v>1.1487545152205018E-2</v>
      </c>
      <c r="D1178" s="31">
        <v>2901.52</v>
      </c>
      <c r="E1178" s="28">
        <f t="shared" si="27"/>
        <v>1.3442134217546059E-4</v>
      </c>
    </row>
    <row r="1179" spans="1:5">
      <c r="A1179" s="30">
        <v>43347</v>
      </c>
      <c r="B1179" s="28">
        <v>54.535496000000002</v>
      </c>
      <c r="C1179" s="28">
        <f t="shared" si="27"/>
        <v>3.2020664909980351E-3</v>
      </c>
      <c r="D1179" s="31">
        <v>2896.72</v>
      </c>
      <c r="E1179" s="28">
        <f t="shared" si="27"/>
        <v>-1.6556752036839839E-3</v>
      </c>
    </row>
    <row r="1180" spans="1:5">
      <c r="A1180" s="30">
        <v>43348</v>
      </c>
      <c r="B1180" s="28">
        <v>54.179667999999999</v>
      </c>
      <c r="C1180" s="28">
        <f t="shared" si="27"/>
        <v>-6.5460835001349372E-3</v>
      </c>
      <c r="D1180" s="31">
        <v>2888.6</v>
      </c>
      <c r="E1180" s="28">
        <f t="shared" si="27"/>
        <v>-2.8071067225424913E-3</v>
      </c>
    </row>
    <row r="1181" spans="1:5">
      <c r="A1181" s="30">
        <v>43349</v>
      </c>
      <c r="B1181" s="28">
        <v>53.279327000000002</v>
      </c>
      <c r="C1181" s="28">
        <f t="shared" si="27"/>
        <v>-1.6757314144791948E-2</v>
      </c>
      <c r="D1181" s="31">
        <v>2878.05</v>
      </c>
      <c r="E1181" s="28">
        <f t="shared" si="27"/>
        <v>-3.6589741948485021E-3</v>
      </c>
    </row>
    <row r="1182" spans="1:5">
      <c r="A1182" s="30">
        <v>43350</v>
      </c>
      <c r="B1182" s="28">
        <v>52.849463999999998</v>
      </c>
      <c r="C1182" s="28">
        <f t="shared" si="27"/>
        <v>-8.1008244172278195E-3</v>
      </c>
      <c r="D1182" s="31">
        <v>2871.68</v>
      </c>
      <c r="E1182" s="28">
        <f t="shared" si="27"/>
        <v>-2.2157571246540649E-3</v>
      </c>
    </row>
    <row r="1183" spans="1:5">
      <c r="A1183" s="30">
        <v>43353</v>
      </c>
      <c r="B1183" s="28">
        <v>52.140194000000001</v>
      </c>
      <c r="C1183" s="28">
        <f t="shared" si="27"/>
        <v>-1.3511441103492273E-2</v>
      </c>
      <c r="D1183" s="31">
        <v>2877.13</v>
      </c>
      <c r="E1183" s="28">
        <f t="shared" si="27"/>
        <v>1.8960451407243311E-3</v>
      </c>
    </row>
    <row r="1184" spans="1:5">
      <c r="A1184" s="30">
        <v>43354</v>
      </c>
      <c r="B1184" s="28">
        <v>53.458449999999999</v>
      </c>
      <c r="C1184" s="28">
        <f t="shared" si="27"/>
        <v>2.4968587400088844E-2</v>
      </c>
      <c r="D1184" s="31">
        <v>2887.89</v>
      </c>
      <c r="E1184" s="28">
        <f t="shared" si="27"/>
        <v>3.7328621563787081E-3</v>
      </c>
    </row>
    <row r="1185" spans="1:5">
      <c r="A1185" s="30">
        <v>43355</v>
      </c>
      <c r="B1185" s="28">
        <v>52.794547999999999</v>
      </c>
      <c r="C1185" s="28">
        <f t="shared" si="27"/>
        <v>-1.2496788845316785E-2</v>
      </c>
      <c r="D1185" s="31">
        <v>2888.92</v>
      </c>
      <c r="E1185" s="28">
        <f t="shared" si="27"/>
        <v>3.5659819551439804E-4</v>
      </c>
    </row>
    <row r="1186" spans="1:5">
      <c r="A1186" s="30">
        <v>43356</v>
      </c>
      <c r="B1186" s="28">
        <v>54.069797999999999</v>
      </c>
      <c r="C1186" s="28">
        <f t="shared" si="27"/>
        <v>2.3867839683997055E-2</v>
      </c>
      <c r="D1186" s="31">
        <v>2904.18</v>
      </c>
      <c r="E1186" s="28">
        <f t="shared" si="27"/>
        <v>5.2683486546839242E-3</v>
      </c>
    </row>
    <row r="1187" spans="1:5">
      <c r="A1187" s="30">
        <v>43357</v>
      </c>
      <c r="B1187" s="28">
        <v>53.456059000000003</v>
      </c>
      <c r="C1187" s="28">
        <f t="shared" si="27"/>
        <v>-1.1415778163769583E-2</v>
      </c>
      <c r="D1187" s="31">
        <v>2904.98</v>
      </c>
      <c r="E1187" s="28">
        <f t="shared" si="27"/>
        <v>2.7542708586353852E-4</v>
      </c>
    </row>
    <row r="1188" spans="1:5">
      <c r="A1188" s="30">
        <v>43360</v>
      </c>
      <c r="B1188" s="28">
        <v>52.032722</v>
      </c>
      <c r="C1188" s="28">
        <f t="shared" si="27"/>
        <v>-2.6987199419921011E-2</v>
      </c>
      <c r="D1188" s="31">
        <v>2888.8</v>
      </c>
      <c r="E1188" s="28">
        <f t="shared" si="27"/>
        <v>-5.5853146174804991E-3</v>
      </c>
    </row>
    <row r="1189" spans="1:5">
      <c r="A1189" s="30">
        <v>43361</v>
      </c>
      <c r="B1189" s="28">
        <v>52.118693999999998</v>
      </c>
      <c r="C1189" s="28">
        <f t="shared" si="27"/>
        <v>1.6509044778859965E-3</v>
      </c>
      <c r="D1189" s="31">
        <v>2904.31</v>
      </c>
      <c r="E1189" s="28">
        <f t="shared" si="27"/>
        <v>5.354649595431229E-3</v>
      </c>
    </row>
    <row r="1190" spans="1:5">
      <c r="A1190" s="30">
        <v>43362</v>
      </c>
      <c r="B1190" s="28">
        <v>52.149731000000003</v>
      </c>
      <c r="C1190" s="28">
        <f t="shared" si="27"/>
        <v>5.9532885275047939E-4</v>
      </c>
      <c r="D1190" s="31">
        <v>2907.95</v>
      </c>
      <c r="E1190" s="28">
        <f t="shared" si="27"/>
        <v>1.2525249991826694E-3</v>
      </c>
    </row>
    <row r="1191" spans="1:5">
      <c r="A1191" s="30">
        <v>43363</v>
      </c>
      <c r="B1191" s="28">
        <v>52.546173000000003</v>
      </c>
      <c r="C1191" s="28">
        <f t="shared" si="27"/>
        <v>7.5732455549420074E-3</v>
      </c>
      <c r="D1191" s="31">
        <v>2930.75</v>
      </c>
      <c r="E1191" s="28">
        <f t="shared" si="27"/>
        <v>7.8099973940756514E-3</v>
      </c>
    </row>
    <row r="1192" spans="1:5">
      <c r="A1192" s="30">
        <v>43364</v>
      </c>
      <c r="B1192" s="28">
        <v>51.980182999999997</v>
      </c>
      <c r="C1192" s="28">
        <f t="shared" si="27"/>
        <v>-1.0829718998925625E-2</v>
      </c>
      <c r="D1192" s="31">
        <v>2929.67</v>
      </c>
      <c r="E1192" s="28">
        <f t="shared" si="27"/>
        <v>-3.6857427018063469E-4</v>
      </c>
    </row>
    <row r="1193" spans="1:5">
      <c r="A1193" s="30">
        <v>43367</v>
      </c>
      <c r="B1193" s="28">
        <v>52.727657000000001</v>
      </c>
      <c r="C1193" s="28">
        <f t="shared" si="27"/>
        <v>1.4277568854584978E-2</v>
      </c>
      <c r="D1193" s="31">
        <v>2919.37</v>
      </c>
      <c r="E1193" s="28">
        <f t="shared" si="27"/>
        <v>-3.5219491222055663E-3</v>
      </c>
    </row>
    <row r="1194" spans="1:5">
      <c r="A1194" s="30">
        <v>43368</v>
      </c>
      <c r="B1194" s="28">
        <v>53.062007999999999</v>
      </c>
      <c r="C1194" s="28">
        <f t="shared" si="27"/>
        <v>6.3210732972022697E-3</v>
      </c>
      <c r="D1194" s="31">
        <v>2915.56</v>
      </c>
      <c r="E1194" s="28">
        <f t="shared" si="27"/>
        <v>-1.3059284486635185E-3</v>
      </c>
    </row>
    <row r="1195" spans="1:5">
      <c r="A1195" s="30">
        <v>43369</v>
      </c>
      <c r="B1195" s="28">
        <v>52.639316999999998</v>
      </c>
      <c r="C1195" s="28">
        <f t="shared" si="27"/>
        <v>-7.9978799348998895E-3</v>
      </c>
      <c r="D1195" s="31">
        <v>2905.97</v>
      </c>
      <c r="E1195" s="28">
        <f t="shared" si="27"/>
        <v>-3.2946695026326335E-3</v>
      </c>
    </row>
    <row r="1196" spans="1:5">
      <c r="A1196" s="30">
        <v>43370</v>
      </c>
      <c r="B1196" s="28">
        <v>53.721133999999999</v>
      </c>
      <c r="C1196" s="28">
        <f t="shared" si="27"/>
        <v>2.0343168879801633E-2</v>
      </c>
      <c r="D1196" s="31">
        <v>2914</v>
      </c>
      <c r="E1196" s="28">
        <f t="shared" si="27"/>
        <v>2.7594661468949336E-3</v>
      </c>
    </row>
    <row r="1197" spans="1:5">
      <c r="A1197" s="30">
        <v>43371</v>
      </c>
      <c r="B1197" s="28">
        <v>53.909790000000001</v>
      </c>
      <c r="C1197" s="28">
        <f t="shared" si="27"/>
        <v>3.5056131861234169E-3</v>
      </c>
      <c r="D1197" s="31">
        <v>2913.98</v>
      </c>
      <c r="E1197" s="28">
        <f t="shared" si="27"/>
        <v>-6.8634415355334628E-6</v>
      </c>
    </row>
    <row r="1198" spans="1:5">
      <c r="A1198" s="30">
        <v>43374</v>
      </c>
      <c r="B1198" s="28">
        <v>54.272796999999997</v>
      </c>
      <c r="C1198" s="28">
        <f t="shared" si="27"/>
        <v>6.7110312757256742E-3</v>
      </c>
      <c r="D1198" s="31">
        <v>2924.59</v>
      </c>
      <c r="E1198" s="28">
        <f t="shared" si="27"/>
        <v>3.6344555873070567E-3</v>
      </c>
    </row>
    <row r="1199" spans="1:5">
      <c r="A1199" s="30">
        <v>43375</v>
      </c>
      <c r="B1199" s="28">
        <v>54.755187999999997</v>
      </c>
      <c r="C1199" s="28">
        <f t="shared" si="27"/>
        <v>8.8489968476977553E-3</v>
      </c>
      <c r="D1199" s="31">
        <v>2923.43</v>
      </c>
      <c r="E1199" s="28">
        <f t="shared" si="27"/>
        <v>-3.967154747124362E-4</v>
      </c>
    </row>
    <row r="1200" spans="1:5">
      <c r="A1200" s="30">
        <v>43376</v>
      </c>
      <c r="B1200" s="28">
        <v>55.421486000000002</v>
      </c>
      <c r="C1200" s="28">
        <f t="shared" si="27"/>
        <v>1.2095230301892541E-2</v>
      </c>
      <c r="D1200" s="31">
        <v>2925.51</v>
      </c>
      <c r="E1200" s="28">
        <f t="shared" si="27"/>
        <v>7.1124001534755626E-4</v>
      </c>
    </row>
    <row r="1201" spans="1:5">
      <c r="A1201" s="30">
        <v>43377</v>
      </c>
      <c r="B1201" s="28">
        <v>54.447121000000003</v>
      </c>
      <c r="C1201" s="28">
        <f t="shared" si="27"/>
        <v>-1.7737378715545947E-2</v>
      </c>
      <c r="D1201" s="31">
        <v>2901.61</v>
      </c>
      <c r="E1201" s="28">
        <f t="shared" si="27"/>
        <v>-8.2030691043885728E-3</v>
      </c>
    </row>
    <row r="1202" spans="1:5">
      <c r="A1202" s="30">
        <v>43378</v>
      </c>
      <c r="B1202" s="28">
        <v>53.563510999999998</v>
      </c>
      <c r="C1202" s="28">
        <f t="shared" si="27"/>
        <v>-1.6361902458846483E-2</v>
      </c>
      <c r="D1202" s="31">
        <v>2885.57</v>
      </c>
      <c r="E1202" s="28">
        <f t="shared" si="27"/>
        <v>-5.543301253226848E-3</v>
      </c>
    </row>
    <row r="1203" spans="1:5">
      <c r="A1203" s="30">
        <v>43381</v>
      </c>
      <c r="B1203" s="28">
        <v>53.439335</v>
      </c>
      <c r="C1203" s="28">
        <f t="shared" si="27"/>
        <v>-2.3209860370335049E-3</v>
      </c>
      <c r="D1203" s="31">
        <v>2884.43</v>
      </c>
      <c r="E1203" s="28">
        <f t="shared" si="27"/>
        <v>-3.951473188331464E-4</v>
      </c>
    </row>
    <row r="1204" spans="1:5">
      <c r="A1204" s="30">
        <v>43382</v>
      </c>
      <c r="B1204" s="28">
        <v>54.179667999999999</v>
      </c>
      <c r="C1204" s="28">
        <f t="shared" si="27"/>
        <v>1.3758623627078343E-2</v>
      </c>
      <c r="D1204" s="31">
        <v>2880.34</v>
      </c>
      <c r="E1204" s="28">
        <f t="shared" si="27"/>
        <v>-1.4189640475695234E-3</v>
      </c>
    </row>
    <row r="1205" spans="1:5">
      <c r="A1205" s="30">
        <v>43383</v>
      </c>
      <c r="B1205" s="28">
        <v>51.669719999999998</v>
      </c>
      <c r="C1205" s="28">
        <f t="shared" si="27"/>
        <v>-4.743378563658282E-2</v>
      </c>
      <c r="D1205" s="31">
        <v>2785.68</v>
      </c>
      <c r="E1205" s="28">
        <f t="shared" si="27"/>
        <v>-3.3416333989061714E-2</v>
      </c>
    </row>
    <row r="1206" spans="1:5">
      <c r="A1206" s="30">
        <v>43384</v>
      </c>
      <c r="B1206" s="28">
        <v>51.213588999999999</v>
      </c>
      <c r="C1206" s="28">
        <f t="shared" si="27"/>
        <v>-8.8670162925175433E-3</v>
      </c>
      <c r="D1206" s="31">
        <v>2728.37</v>
      </c>
      <c r="E1206" s="28">
        <f t="shared" si="27"/>
        <v>-2.0787647463574973E-2</v>
      </c>
    </row>
    <row r="1207" spans="1:5">
      <c r="A1207" s="30">
        <v>43385</v>
      </c>
      <c r="B1207" s="28">
        <v>53.042904</v>
      </c>
      <c r="C1207" s="28">
        <f t="shared" si="27"/>
        <v>3.5096188523372936E-2</v>
      </c>
      <c r="D1207" s="31">
        <v>2767.13</v>
      </c>
      <c r="E1207" s="28">
        <f t="shared" si="27"/>
        <v>1.4106320709680948E-2</v>
      </c>
    </row>
    <row r="1208" spans="1:5">
      <c r="A1208" s="30">
        <v>43388</v>
      </c>
      <c r="B1208" s="28">
        <v>51.908535000000001</v>
      </c>
      <c r="C1208" s="28">
        <f t="shared" si="27"/>
        <v>-2.1617867991706854E-2</v>
      </c>
      <c r="D1208" s="31">
        <v>2750.79</v>
      </c>
      <c r="E1208" s="28">
        <f t="shared" si="27"/>
        <v>-5.922538841602318E-3</v>
      </c>
    </row>
    <row r="1209" spans="1:5">
      <c r="A1209" s="30">
        <v>43389</v>
      </c>
      <c r="B1209" s="28">
        <v>53.052452000000002</v>
      </c>
      <c r="C1209" s="28">
        <f t="shared" si="27"/>
        <v>2.1797857020176392E-2</v>
      </c>
      <c r="D1209" s="31">
        <v>2809.92</v>
      </c>
      <c r="E1209" s="28">
        <f t="shared" si="27"/>
        <v>2.1267870038650147E-2</v>
      </c>
    </row>
    <row r="1210" spans="1:5">
      <c r="A1210" s="30">
        <v>43390</v>
      </c>
      <c r="B1210" s="28">
        <v>52.823185000000002</v>
      </c>
      <c r="C1210" s="28">
        <f t="shared" si="27"/>
        <v>-4.3308803583251877E-3</v>
      </c>
      <c r="D1210" s="31">
        <v>2809.21</v>
      </c>
      <c r="E1210" s="28">
        <f t="shared" si="27"/>
        <v>-2.5270816079308065E-4</v>
      </c>
    </row>
    <row r="1211" spans="1:5">
      <c r="A1211" s="30">
        <v>43391</v>
      </c>
      <c r="B1211" s="28">
        <v>51.588520000000003</v>
      </c>
      <c r="C1211" s="28">
        <f t="shared" si="27"/>
        <v>-2.3651037065307003E-2</v>
      </c>
      <c r="D1211" s="31">
        <v>2768.78</v>
      </c>
      <c r="E1211" s="28">
        <f t="shared" si="27"/>
        <v>-1.4496515061645461E-2</v>
      </c>
    </row>
    <row r="1212" spans="1:5">
      <c r="A1212" s="30">
        <v>43392</v>
      </c>
      <c r="B1212" s="28">
        <v>52.374222000000003</v>
      </c>
      <c r="C1212" s="28">
        <f t="shared" si="27"/>
        <v>1.5115356601821863E-2</v>
      </c>
      <c r="D1212" s="31">
        <v>2767.78</v>
      </c>
      <c r="E1212" s="28">
        <f t="shared" si="27"/>
        <v>-3.6123513910236955E-4</v>
      </c>
    </row>
    <row r="1213" spans="1:5">
      <c r="A1213" s="30">
        <v>43395</v>
      </c>
      <c r="B1213" s="28">
        <v>52.694225000000003</v>
      </c>
      <c r="C1213" s="28">
        <f t="shared" si="27"/>
        <v>6.0913432833172429E-3</v>
      </c>
      <c r="D1213" s="31">
        <v>2755.88</v>
      </c>
      <c r="E1213" s="28">
        <f t="shared" si="27"/>
        <v>-4.3087439887895167E-3</v>
      </c>
    </row>
    <row r="1214" spans="1:5">
      <c r="A1214" s="30">
        <v>43396</v>
      </c>
      <c r="B1214" s="28">
        <v>53.190967999999998</v>
      </c>
      <c r="C1214" s="28">
        <f t="shared" si="27"/>
        <v>9.382740498180801E-3</v>
      </c>
      <c r="D1214" s="31">
        <v>2740.69</v>
      </c>
      <c r="E1214" s="28">
        <f t="shared" si="27"/>
        <v>-5.5270973242133609E-3</v>
      </c>
    </row>
    <row r="1215" spans="1:5">
      <c r="A1215" s="30">
        <v>43397</v>
      </c>
      <c r="B1215" s="28">
        <v>51.366425</v>
      </c>
      <c r="C1215" s="28">
        <f t="shared" si="27"/>
        <v>-3.4903858588488115E-2</v>
      </c>
      <c r="D1215" s="31">
        <v>2656.1</v>
      </c>
      <c r="E1215" s="28">
        <f t="shared" si="27"/>
        <v>-3.135083200711912E-2</v>
      </c>
    </row>
    <row r="1216" spans="1:5">
      <c r="A1216" s="30">
        <v>43398</v>
      </c>
      <c r="B1216" s="28">
        <v>52.491230000000002</v>
      </c>
      <c r="C1216" s="28">
        <f t="shared" si="27"/>
        <v>2.1661359114813514E-2</v>
      </c>
      <c r="D1216" s="31">
        <v>2705.57</v>
      </c>
      <c r="E1216" s="28">
        <f t="shared" si="27"/>
        <v>1.8453729479332191E-2</v>
      </c>
    </row>
    <row r="1217" spans="1:5">
      <c r="A1217" s="30">
        <v>43399</v>
      </c>
      <c r="B1217" s="28">
        <v>51.655399000000003</v>
      </c>
      <c r="C1217" s="28">
        <f t="shared" si="27"/>
        <v>-1.6051387428099074E-2</v>
      </c>
      <c r="D1217" s="31">
        <v>2658.69</v>
      </c>
      <c r="E1217" s="28">
        <f t="shared" si="27"/>
        <v>-1.7479090705260276E-2</v>
      </c>
    </row>
    <row r="1218" spans="1:5">
      <c r="A1218" s="30">
        <v>43402</v>
      </c>
      <c r="B1218" s="28">
        <v>50.685817999999998</v>
      </c>
      <c r="C1218" s="28">
        <f t="shared" si="27"/>
        <v>-1.8948572995181965E-2</v>
      </c>
      <c r="D1218" s="31">
        <v>2641.25</v>
      </c>
      <c r="E1218" s="28">
        <f t="shared" si="27"/>
        <v>-6.5812303337732898E-3</v>
      </c>
    </row>
    <row r="1219" spans="1:5">
      <c r="A1219" s="30">
        <v>43403</v>
      </c>
      <c r="B1219" s="28">
        <v>50.938957000000002</v>
      </c>
      <c r="C1219" s="28">
        <f t="shared" si="27"/>
        <v>4.9818466717437403E-3</v>
      </c>
      <c r="D1219" s="31">
        <v>2682.63</v>
      </c>
      <c r="E1219" s="28">
        <f t="shared" si="27"/>
        <v>1.5545366655688744E-2</v>
      </c>
    </row>
    <row r="1220" spans="1:5">
      <c r="A1220" s="30">
        <v>43404</v>
      </c>
      <c r="B1220" s="28">
        <v>52.266758000000003</v>
      </c>
      <c r="C1220" s="28">
        <f t="shared" si="27"/>
        <v>2.5732572422665034E-2</v>
      </c>
      <c r="D1220" s="31">
        <v>2711.74</v>
      </c>
      <c r="E1220" s="28">
        <f t="shared" si="27"/>
        <v>1.0792838671999127E-2</v>
      </c>
    </row>
    <row r="1221" spans="1:5">
      <c r="A1221" s="30">
        <v>43405</v>
      </c>
      <c r="B1221" s="28">
        <v>53.069183000000002</v>
      </c>
      <c r="C1221" s="28">
        <f t="shared" ref="C1221:E1284" si="28">LN(B1221/B1220)</f>
        <v>1.5235835264016775E-2</v>
      </c>
      <c r="D1221" s="31">
        <v>2740.37</v>
      </c>
      <c r="E1221" s="28">
        <f t="shared" si="28"/>
        <v>1.0502452503904892E-2</v>
      </c>
    </row>
    <row r="1222" spans="1:5">
      <c r="A1222" s="30">
        <v>43406</v>
      </c>
      <c r="B1222" s="28">
        <v>49.549061000000002</v>
      </c>
      <c r="C1222" s="28">
        <f t="shared" si="28"/>
        <v>-6.8633091918229458E-2</v>
      </c>
      <c r="D1222" s="31">
        <v>2723.06</v>
      </c>
      <c r="E1222" s="28">
        <f t="shared" si="28"/>
        <v>-6.3366998101070391E-3</v>
      </c>
    </row>
    <row r="1223" spans="1:5">
      <c r="A1223" s="30">
        <v>43409</v>
      </c>
      <c r="B1223" s="28">
        <v>48.142445000000002</v>
      </c>
      <c r="C1223" s="28">
        <f t="shared" si="28"/>
        <v>-2.8799089611894212E-2</v>
      </c>
      <c r="D1223" s="31">
        <v>2738.31</v>
      </c>
      <c r="E1223" s="28">
        <f t="shared" si="28"/>
        <v>5.5846938170283911E-3</v>
      </c>
    </row>
    <row r="1224" spans="1:5">
      <c r="A1224" s="30">
        <v>43410</v>
      </c>
      <c r="B1224" s="28">
        <v>48.663058999999997</v>
      </c>
      <c r="C1224" s="28">
        <f t="shared" si="28"/>
        <v>1.0755979725922134E-2</v>
      </c>
      <c r="D1224" s="31">
        <v>2755.45</v>
      </c>
      <c r="E1224" s="28">
        <f t="shared" si="28"/>
        <v>6.2398268627495259E-3</v>
      </c>
    </row>
    <row r="1225" spans="1:5">
      <c r="A1225" s="30">
        <v>43411</v>
      </c>
      <c r="B1225" s="28">
        <v>50.138919999999999</v>
      </c>
      <c r="C1225" s="28">
        <f t="shared" si="28"/>
        <v>2.9877352653827818E-2</v>
      </c>
      <c r="D1225" s="31">
        <v>2813.89</v>
      </c>
      <c r="E1225" s="28">
        <f t="shared" si="28"/>
        <v>2.0987099015788779E-2</v>
      </c>
    </row>
    <row r="1226" spans="1:5">
      <c r="A1226" s="30">
        <v>43412</v>
      </c>
      <c r="B1226" s="28">
        <v>49.963985000000001</v>
      </c>
      <c r="C1226" s="28">
        <f t="shared" si="28"/>
        <v>-3.4951069218315451E-3</v>
      </c>
      <c r="D1226" s="31">
        <v>2806.83</v>
      </c>
      <c r="E1226" s="28">
        <f t="shared" si="28"/>
        <v>-2.5121349979599032E-3</v>
      </c>
    </row>
    <row r="1227" spans="1:5">
      <c r="A1227" s="30">
        <v>43413</v>
      </c>
      <c r="B1227" s="28">
        <v>49.000602999999998</v>
      </c>
      <c r="C1227" s="28">
        <f t="shared" si="28"/>
        <v>-1.946984173010631E-2</v>
      </c>
      <c r="D1227" s="31">
        <v>2781.01</v>
      </c>
      <c r="E1227" s="28">
        <f t="shared" si="28"/>
        <v>-9.2415615930208604E-3</v>
      </c>
    </row>
    <row r="1228" spans="1:5">
      <c r="A1228" s="30">
        <v>43416</v>
      </c>
      <c r="B1228" s="28">
        <v>46.532246000000001</v>
      </c>
      <c r="C1228" s="28">
        <f t="shared" si="28"/>
        <v>-5.1687069532378116E-2</v>
      </c>
      <c r="D1228" s="31">
        <v>2726.22</v>
      </c>
      <c r="E1228" s="28">
        <f t="shared" si="28"/>
        <v>-1.9898136727593101E-2</v>
      </c>
    </row>
    <row r="1229" spans="1:5">
      <c r="A1229" s="30">
        <v>43417</v>
      </c>
      <c r="B1229" s="28">
        <v>46.067321999999997</v>
      </c>
      <c r="C1229" s="28">
        <f t="shared" si="28"/>
        <v>-1.0041686300934709E-2</v>
      </c>
      <c r="D1229" s="31">
        <v>2722.18</v>
      </c>
      <c r="E1229" s="28">
        <f t="shared" si="28"/>
        <v>-1.4830044565126614E-3</v>
      </c>
    </row>
    <row r="1230" spans="1:5">
      <c r="A1230" s="30">
        <v>43418</v>
      </c>
      <c r="B1230" s="28">
        <v>44.766055999999999</v>
      </c>
      <c r="C1230" s="28">
        <f t="shared" si="28"/>
        <v>-2.8653674658011944E-2</v>
      </c>
      <c r="D1230" s="31">
        <v>2701.58</v>
      </c>
      <c r="E1230" s="28">
        <f t="shared" si="28"/>
        <v>-7.5962428487097063E-3</v>
      </c>
    </row>
    <row r="1231" spans="1:5">
      <c r="A1231" s="30">
        <v>43419</v>
      </c>
      <c r="B1231" s="28">
        <v>45.870807999999997</v>
      </c>
      <c r="C1231" s="28">
        <f t="shared" si="28"/>
        <v>2.4378749786817217E-2</v>
      </c>
      <c r="D1231" s="31">
        <v>2730.2</v>
      </c>
      <c r="E1231" s="28">
        <f t="shared" si="28"/>
        <v>1.0538079545354202E-2</v>
      </c>
    </row>
    <row r="1232" spans="1:5">
      <c r="A1232" s="30">
        <v>43420</v>
      </c>
      <c r="B1232" s="28">
        <v>46.378867999999997</v>
      </c>
      <c r="C1232" s="28">
        <f t="shared" si="28"/>
        <v>1.1015001004666162E-2</v>
      </c>
      <c r="D1232" s="31">
        <v>2736.27</v>
      </c>
      <c r="E1232" s="28">
        <f t="shared" si="28"/>
        <v>2.2208125151236689E-3</v>
      </c>
    </row>
    <row r="1233" spans="1:5">
      <c r="A1233" s="30">
        <v>43423</v>
      </c>
      <c r="B1233" s="28">
        <v>44.540770999999999</v>
      </c>
      <c r="C1233" s="28">
        <f t="shared" si="28"/>
        <v>-4.0438952495222141E-2</v>
      </c>
      <c r="D1233" s="31">
        <v>2690.73</v>
      </c>
      <c r="E1233" s="28">
        <f t="shared" si="28"/>
        <v>-1.6783146839093228E-2</v>
      </c>
    </row>
    <row r="1234" spans="1:5">
      <c r="A1234" s="30">
        <v>43424</v>
      </c>
      <c r="B1234" s="28">
        <v>42.412708000000002</v>
      </c>
      <c r="C1234" s="28">
        <f t="shared" si="28"/>
        <v>-4.8956937649409726E-2</v>
      </c>
      <c r="D1234" s="31">
        <v>2641.89</v>
      </c>
      <c r="E1234" s="28">
        <f t="shared" si="28"/>
        <v>-1.8317962154308476E-2</v>
      </c>
    </row>
    <row r="1235" spans="1:5">
      <c r="A1235" s="30">
        <v>43425</v>
      </c>
      <c r="B1235" s="28">
        <v>42.364780000000003</v>
      </c>
      <c r="C1235" s="28">
        <f t="shared" si="28"/>
        <v>-1.1306776418300139E-3</v>
      </c>
      <c r="D1235" s="31">
        <v>2649.93</v>
      </c>
      <c r="E1235" s="28">
        <f t="shared" si="28"/>
        <v>3.038654446444182E-3</v>
      </c>
    </row>
    <row r="1236" spans="1:5">
      <c r="A1236" s="30">
        <v>43427</v>
      </c>
      <c r="B1236" s="28">
        <v>41.288769000000002</v>
      </c>
      <c r="C1236" s="28">
        <f t="shared" si="28"/>
        <v>-2.5726830731653123E-2</v>
      </c>
      <c r="D1236" s="31">
        <v>2632.56</v>
      </c>
      <c r="E1236" s="28">
        <f t="shared" si="28"/>
        <v>-6.5764677658551214E-3</v>
      </c>
    </row>
    <row r="1237" spans="1:5">
      <c r="A1237" s="30">
        <v>43430</v>
      </c>
      <c r="B1237" s="28">
        <v>41.847144999999998</v>
      </c>
      <c r="C1237" s="28">
        <f t="shared" si="28"/>
        <v>1.3433048836270414E-2</v>
      </c>
      <c r="D1237" s="31">
        <v>2673.45</v>
      </c>
      <c r="E1237" s="28">
        <f t="shared" si="28"/>
        <v>1.5413016366781477E-2</v>
      </c>
    </row>
    <row r="1238" spans="1:5">
      <c r="A1238" s="30">
        <v>43431</v>
      </c>
      <c r="B1238" s="28">
        <v>41.756081000000002</v>
      </c>
      <c r="C1238" s="28">
        <f t="shared" si="28"/>
        <v>-2.1784813905181902E-3</v>
      </c>
      <c r="D1238" s="31">
        <v>2682.17</v>
      </c>
      <c r="E1238" s="28">
        <f t="shared" si="28"/>
        <v>3.2563952280602691E-3</v>
      </c>
    </row>
    <row r="1239" spans="1:5">
      <c r="A1239" s="30">
        <v>43432</v>
      </c>
      <c r="B1239" s="28">
        <v>43.361713000000002</v>
      </c>
      <c r="C1239" s="28">
        <f t="shared" si="28"/>
        <v>3.7731769423444299E-2</v>
      </c>
      <c r="D1239" s="31">
        <v>2743.79</v>
      </c>
      <c r="E1239" s="28">
        <f t="shared" si="28"/>
        <v>2.2714007938884229E-2</v>
      </c>
    </row>
    <row r="1240" spans="1:5">
      <c r="A1240" s="30">
        <v>43433</v>
      </c>
      <c r="B1240" s="28">
        <v>43.028606000000003</v>
      </c>
      <c r="C1240" s="28">
        <f t="shared" si="28"/>
        <v>-7.711712485638093E-3</v>
      </c>
      <c r="D1240" s="31">
        <v>2737.8</v>
      </c>
      <c r="E1240" s="28">
        <f t="shared" si="28"/>
        <v>-2.1854981435022809E-3</v>
      </c>
    </row>
    <row r="1241" spans="1:5">
      <c r="A1241" s="30">
        <v>43434</v>
      </c>
      <c r="B1241" s="28">
        <v>42.796149999999997</v>
      </c>
      <c r="C1241" s="28">
        <f t="shared" si="28"/>
        <v>-5.4170050522728526E-3</v>
      </c>
      <c r="D1241" s="31">
        <v>2760.17</v>
      </c>
      <c r="E1241" s="28">
        <f t="shared" si="28"/>
        <v>8.1375938558372295E-3</v>
      </c>
    </row>
    <row r="1242" spans="1:5">
      <c r="A1242" s="30">
        <v>43437</v>
      </c>
      <c r="B1242" s="28">
        <v>44.291545999999997</v>
      </c>
      <c r="C1242" s="28">
        <f t="shared" si="28"/>
        <v>3.4345678354601616E-2</v>
      </c>
      <c r="D1242" s="31">
        <v>2790.37</v>
      </c>
      <c r="E1242" s="28">
        <f t="shared" si="28"/>
        <v>1.0881931492828126E-2</v>
      </c>
    </row>
    <row r="1243" spans="1:5">
      <c r="A1243" s="30">
        <v>43438</v>
      </c>
      <c r="B1243" s="28">
        <v>42.343215999999998</v>
      </c>
      <c r="C1243" s="28">
        <f t="shared" si="28"/>
        <v>-4.4985604260842624E-2</v>
      </c>
      <c r="D1243" s="31">
        <v>2700.06</v>
      </c>
      <c r="E1243" s="28">
        <f t="shared" si="28"/>
        <v>-3.2900208542344787E-2</v>
      </c>
    </row>
    <row r="1244" spans="1:5">
      <c r="A1244" s="30">
        <v>43440</v>
      </c>
      <c r="B1244" s="28">
        <v>41.871105</v>
      </c>
      <c r="C1244" s="28">
        <f t="shared" si="28"/>
        <v>-1.1212248470742875E-2</v>
      </c>
      <c r="D1244" s="31">
        <v>2695.95</v>
      </c>
      <c r="E1244" s="28">
        <f t="shared" si="28"/>
        <v>-1.5233481015795478E-3</v>
      </c>
    </row>
    <row r="1245" spans="1:5">
      <c r="A1245" s="30">
        <v>43441</v>
      </c>
      <c r="B1245" s="28">
        <v>40.378109000000002</v>
      </c>
      <c r="C1245" s="28">
        <f t="shared" si="28"/>
        <v>-3.6308189219491235E-2</v>
      </c>
      <c r="D1245" s="31">
        <v>2633.08</v>
      </c>
      <c r="E1245" s="28">
        <f t="shared" si="28"/>
        <v>-2.3596383238556007E-2</v>
      </c>
    </row>
    <row r="1246" spans="1:5">
      <c r="A1246" s="30">
        <v>43444</v>
      </c>
      <c r="B1246" s="28">
        <v>40.644108000000003</v>
      </c>
      <c r="C1246" s="28">
        <f t="shared" si="28"/>
        <v>6.566099164672567E-3</v>
      </c>
      <c r="D1246" s="31">
        <v>2637.72</v>
      </c>
      <c r="E1246" s="28">
        <f t="shared" si="28"/>
        <v>1.7606440003852311E-3</v>
      </c>
    </row>
    <row r="1247" spans="1:5">
      <c r="A1247" s="30">
        <v>43445</v>
      </c>
      <c r="B1247" s="28">
        <v>40.411667000000001</v>
      </c>
      <c r="C1247" s="28">
        <f t="shared" si="28"/>
        <v>-5.7353504340415156E-3</v>
      </c>
      <c r="D1247" s="31">
        <v>2636.78</v>
      </c>
      <c r="E1247" s="28">
        <f t="shared" si="28"/>
        <v>-3.564318930519869E-4</v>
      </c>
    </row>
    <row r="1248" spans="1:5">
      <c r="A1248" s="30">
        <v>43446</v>
      </c>
      <c r="B1248" s="28">
        <v>40.524292000000003</v>
      </c>
      <c r="C1248" s="28">
        <f t="shared" si="28"/>
        <v>2.7830663671841527E-3</v>
      </c>
      <c r="D1248" s="31">
        <v>2651.07</v>
      </c>
      <c r="E1248" s="28">
        <f t="shared" si="28"/>
        <v>5.4048563356254914E-3</v>
      </c>
    </row>
    <row r="1249" spans="1:5">
      <c r="A1249" s="30">
        <v>43447</v>
      </c>
      <c r="B1249" s="28">
        <v>40.967640000000003</v>
      </c>
      <c r="C1249" s="28">
        <f t="shared" si="28"/>
        <v>1.0880890003393925E-2</v>
      </c>
      <c r="D1249" s="31">
        <v>2650.54</v>
      </c>
      <c r="E1249" s="28">
        <f t="shared" si="28"/>
        <v>-1.999392643992198E-4</v>
      </c>
    </row>
    <row r="1250" spans="1:5">
      <c r="A1250" s="30">
        <v>43448</v>
      </c>
      <c r="B1250" s="28">
        <v>39.656773000000001</v>
      </c>
      <c r="C1250" s="28">
        <f t="shared" si="28"/>
        <v>-3.2520733610449576E-2</v>
      </c>
      <c r="D1250" s="31">
        <v>2599.9499999999998</v>
      </c>
      <c r="E1250" s="28">
        <f t="shared" si="28"/>
        <v>-1.9271178750727643E-2</v>
      </c>
    </row>
    <row r="1251" spans="1:5">
      <c r="A1251" s="30">
        <v>43451</v>
      </c>
      <c r="B1251" s="28">
        <v>39.287723999999997</v>
      </c>
      <c r="C1251" s="28">
        <f t="shared" si="28"/>
        <v>-9.3496494985170851E-3</v>
      </c>
      <c r="D1251" s="31">
        <v>2545.94</v>
      </c>
      <c r="E1251" s="28">
        <f t="shared" si="28"/>
        <v>-2.0992280594401735E-2</v>
      </c>
    </row>
    <row r="1252" spans="1:5">
      <c r="A1252" s="30">
        <v>43452</v>
      </c>
      <c r="B1252" s="28">
        <v>39.798164</v>
      </c>
      <c r="C1252" s="28">
        <f t="shared" si="28"/>
        <v>1.2908676906622264E-2</v>
      </c>
      <c r="D1252" s="31">
        <v>2546.16</v>
      </c>
      <c r="E1252" s="28">
        <f t="shared" si="28"/>
        <v>8.6408358098435416E-5</v>
      </c>
    </row>
    <row r="1253" spans="1:5">
      <c r="A1253" s="30">
        <v>43453</v>
      </c>
      <c r="B1253" s="28">
        <v>38.556804999999997</v>
      </c>
      <c r="C1253" s="28">
        <f t="shared" si="28"/>
        <v>-3.1688172147451073E-2</v>
      </c>
      <c r="D1253" s="31">
        <v>2506.96</v>
      </c>
      <c r="E1253" s="28">
        <f t="shared" si="28"/>
        <v>-1.5515478113209684E-2</v>
      </c>
    </row>
    <row r="1254" spans="1:5">
      <c r="A1254" s="30">
        <v>43454</v>
      </c>
      <c r="B1254" s="28">
        <v>37.583832000000001</v>
      </c>
      <c r="C1254" s="28">
        <f t="shared" si="28"/>
        <v>-2.5558650506285304E-2</v>
      </c>
      <c r="D1254" s="31">
        <v>2467.42</v>
      </c>
      <c r="E1254" s="28">
        <f t="shared" si="28"/>
        <v>-1.5897793403096879E-2</v>
      </c>
    </row>
    <row r="1255" spans="1:5">
      <c r="A1255" s="30">
        <v>43455</v>
      </c>
      <c r="B1255" s="28">
        <v>36.121983</v>
      </c>
      <c r="C1255" s="28">
        <f t="shared" si="28"/>
        <v>-3.9672330545295516E-2</v>
      </c>
      <c r="D1255" s="31">
        <v>2416.62</v>
      </c>
      <c r="E1255" s="28">
        <f t="shared" si="28"/>
        <v>-2.0803200653483116E-2</v>
      </c>
    </row>
    <row r="1256" spans="1:5">
      <c r="A1256" s="30">
        <v>43458</v>
      </c>
      <c r="B1256" s="28">
        <v>35.187365999999997</v>
      </c>
      <c r="C1256" s="28">
        <f t="shared" si="28"/>
        <v>-2.6214529651899635E-2</v>
      </c>
      <c r="D1256" s="31">
        <v>2351.1</v>
      </c>
      <c r="E1256" s="28">
        <f t="shared" si="28"/>
        <v>-2.7486565922407408E-2</v>
      </c>
    </row>
    <row r="1257" spans="1:5">
      <c r="A1257" s="30">
        <v>43460</v>
      </c>
      <c r="B1257" s="28">
        <v>37.665301999999997</v>
      </c>
      <c r="C1257" s="28">
        <f t="shared" si="28"/>
        <v>6.8052201577266852E-2</v>
      </c>
      <c r="D1257" s="31">
        <v>2467.6999999999998</v>
      </c>
      <c r="E1257" s="28">
        <f t="shared" si="28"/>
        <v>4.8403238994109442E-2</v>
      </c>
    </row>
    <row r="1258" spans="1:5">
      <c r="A1258" s="30">
        <v>43461</v>
      </c>
      <c r="B1258" s="28">
        <v>37.420864000000002</v>
      </c>
      <c r="C1258" s="28">
        <f t="shared" si="28"/>
        <v>-6.5108894629370912E-3</v>
      </c>
      <c r="D1258" s="31">
        <v>2488.83</v>
      </c>
      <c r="E1258" s="28">
        <f t="shared" si="28"/>
        <v>8.5261777916688236E-3</v>
      </c>
    </row>
    <row r="1259" spans="1:5">
      <c r="A1259" s="30">
        <v>43462</v>
      </c>
      <c r="B1259" s="28">
        <v>37.440033</v>
      </c>
      <c r="C1259" s="28">
        <f t="shared" si="28"/>
        <v>5.121231827866715E-4</v>
      </c>
      <c r="D1259" s="31">
        <v>2485.7399999999998</v>
      </c>
      <c r="E1259" s="28">
        <f t="shared" si="28"/>
        <v>-1.2423185913211249E-3</v>
      </c>
    </row>
    <row r="1260" spans="1:5">
      <c r="A1260" s="30">
        <v>43465</v>
      </c>
      <c r="B1260" s="28">
        <v>37.801909999999999</v>
      </c>
      <c r="C1260" s="28">
        <f t="shared" si="28"/>
        <v>9.6190974302597567E-3</v>
      </c>
      <c r="D1260" s="31">
        <v>2506.85</v>
      </c>
      <c r="E1260" s="28">
        <f t="shared" si="28"/>
        <v>8.4565829777873986E-3</v>
      </c>
    </row>
    <row r="1261" spans="1:5">
      <c r="A1261" s="30">
        <v>43467</v>
      </c>
      <c r="B1261" s="28">
        <v>37.845039</v>
      </c>
      <c r="C1261" s="28">
        <f t="shared" si="28"/>
        <v>1.1402708303039327E-3</v>
      </c>
      <c r="D1261" s="31">
        <v>2510.0300000000002</v>
      </c>
      <c r="E1261" s="28">
        <f t="shared" si="28"/>
        <v>1.2677203464647186E-3</v>
      </c>
    </row>
    <row r="1262" spans="1:5">
      <c r="A1262" s="30">
        <v>43468</v>
      </c>
      <c r="B1262" s="28">
        <v>34.075397000000002</v>
      </c>
      <c r="C1262" s="28">
        <f t="shared" si="28"/>
        <v>-0.10492427299473679</v>
      </c>
      <c r="D1262" s="31">
        <v>2447.89</v>
      </c>
      <c r="E1262" s="28">
        <f t="shared" si="28"/>
        <v>-2.5068276263535243E-2</v>
      </c>
    </row>
    <row r="1263" spans="1:5">
      <c r="A1263" s="30">
        <v>43469</v>
      </c>
      <c r="B1263" s="28">
        <v>35.530051999999998</v>
      </c>
      <c r="C1263" s="28">
        <f t="shared" si="28"/>
        <v>4.1803245298706423E-2</v>
      </c>
      <c r="D1263" s="31">
        <v>2531.94</v>
      </c>
      <c r="E1263" s="28">
        <f t="shared" si="28"/>
        <v>3.3759378318728883E-2</v>
      </c>
    </row>
    <row r="1264" spans="1:5">
      <c r="A1264" s="30">
        <v>43472</v>
      </c>
      <c r="B1264" s="28">
        <v>35.450969999999998</v>
      </c>
      <c r="C1264" s="28">
        <f t="shared" si="28"/>
        <v>-2.2282584976325245E-3</v>
      </c>
      <c r="D1264" s="31">
        <v>2549.69</v>
      </c>
      <c r="E1264" s="28">
        <f t="shared" si="28"/>
        <v>6.9859758341247287E-3</v>
      </c>
    </row>
    <row r="1265" spans="1:5">
      <c r="A1265" s="30">
        <v>43473</v>
      </c>
      <c r="B1265" s="28">
        <v>36.126781000000001</v>
      </c>
      <c r="C1265" s="28">
        <f t="shared" si="28"/>
        <v>1.8883831169242176E-2</v>
      </c>
      <c r="D1265" s="31">
        <v>2574.41</v>
      </c>
      <c r="E1265" s="28">
        <f t="shared" si="28"/>
        <v>9.648598495866724E-3</v>
      </c>
    </row>
    <row r="1266" spans="1:5">
      <c r="A1266" s="30">
        <v>43474</v>
      </c>
      <c r="B1266" s="28">
        <v>36.740268999999998</v>
      </c>
      <c r="C1266" s="28">
        <f t="shared" si="28"/>
        <v>1.6838955224969532E-2</v>
      </c>
      <c r="D1266" s="31">
        <v>2584.96</v>
      </c>
      <c r="E1266" s="28">
        <f t="shared" si="28"/>
        <v>4.0896523041704267E-3</v>
      </c>
    </row>
    <row r="1267" spans="1:5">
      <c r="A1267" s="30">
        <v>43475</v>
      </c>
      <c r="B1267" s="28">
        <v>36.857689000000001</v>
      </c>
      <c r="C1267" s="28">
        <f t="shared" si="28"/>
        <v>3.1908521056066307E-3</v>
      </c>
      <c r="D1267" s="31">
        <v>2596.64</v>
      </c>
      <c r="E1267" s="28">
        <f t="shared" si="28"/>
        <v>4.508267632578381E-3</v>
      </c>
    </row>
    <row r="1268" spans="1:5">
      <c r="A1268" s="30">
        <v>43476</v>
      </c>
      <c r="B1268" s="28">
        <v>36.495823000000001</v>
      </c>
      <c r="C1268" s="28">
        <f t="shared" si="28"/>
        <v>-9.8664379022653827E-3</v>
      </c>
      <c r="D1268" s="31">
        <v>2596.2600000000002</v>
      </c>
      <c r="E1268" s="28">
        <f t="shared" si="28"/>
        <v>-1.4635367547150111E-4</v>
      </c>
    </row>
    <row r="1269" spans="1:5">
      <c r="A1269" s="30">
        <v>43479</v>
      </c>
      <c r="B1269" s="28">
        <v>35.947043999999998</v>
      </c>
      <c r="C1269" s="28">
        <f t="shared" si="28"/>
        <v>-1.5150960210278569E-2</v>
      </c>
      <c r="D1269" s="31">
        <v>2582.61</v>
      </c>
      <c r="E1269" s="28">
        <f t="shared" si="28"/>
        <v>-5.2714324201361554E-3</v>
      </c>
    </row>
    <row r="1270" spans="1:5">
      <c r="A1270" s="30">
        <v>43480</v>
      </c>
      <c r="B1270" s="28">
        <v>36.682761999999997</v>
      </c>
      <c r="C1270" s="28">
        <f t="shared" si="28"/>
        <v>2.026008897088373E-2</v>
      </c>
      <c r="D1270" s="31">
        <v>2610.3000000000002</v>
      </c>
      <c r="E1270" s="28">
        <f t="shared" si="28"/>
        <v>1.06646417681244E-2</v>
      </c>
    </row>
    <row r="1271" spans="1:5">
      <c r="A1271" s="30">
        <v>43481</v>
      </c>
      <c r="B1271" s="28">
        <v>37.130898000000002</v>
      </c>
      <c r="C1271" s="28">
        <f t="shared" si="28"/>
        <v>1.2142508747120676E-2</v>
      </c>
      <c r="D1271" s="31">
        <v>2616.1</v>
      </c>
      <c r="E1271" s="28">
        <f t="shared" si="28"/>
        <v>2.2195019060886282E-3</v>
      </c>
    </row>
    <row r="1272" spans="1:5">
      <c r="A1272" s="30">
        <v>43482</v>
      </c>
      <c r="B1272" s="28">
        <v>37.351376000000002</v>
      </c>
      <c r="C1272" s="28">
        <f t="shared" si="28"/>
        <v>5.9202984049034398E-3</v>
      </c>
      <c r="D1272" s="31">
        <v>2635.96</v>
      </c>
      <c r="E1272" s="28">
        <f t="shared" si="28"/>
        <v>7.5627828542582029E-3</v>
      </c>
    </row>
    <row r="1273" spans="1:5">
      <c r="A1273" s="30">
        <v>43483</v>
      </c>
      <c r="B1273" s="28">
        <v>37.581432</v>
      </c>
      <c r="C1273" s="28">
        <f t="shared" si="28"/>
        <v>6.1403470381850272E-3</v>
      </c>
      <c r="D1273" s="31">
        <v>2670.71</v>
      </c>
      <c r="E1273" s="28">
        <f t="shared" si="28"/>
        <v>1.3096912647036883E-2</v>
      </c>
    </row>
    <row r="1274" spans="1:5">
      <c r="A1274" s="30">
        <v>43487</v>
      </c>
      <c r="B1274" s="28">
        <v>36.737869000000003</v>
      </c>
      <c r="C1274" s="28">
        <f t="shared" si="28"/>
        <v>-2.270202270720233E-2</v>
      </c>
      <c r="D1274" s="31">
        <v>2632.9</v>
      </c>
      <c r="E1274" s="28">
        <f t="shared" si="28"/>
        <v>-1.4258454363476867E-2</v>
      </c>
    </row>
    <row r="1275" spans="1:5">
      <c r="A1275" s="30">
        <v>43488</v>
      </c>
      <c r="B1275" s="28">
        <v>36.886456000000003</v>
      </c>
      <c r="C1275" s="28">
        <f t="shared" si="28"/>
        <v>4.0363616707990973E-3</v>
      </c>
      <c r="D1275" s="31">
        <v>2638.7</v>
      </c>
      <c r="E1275" s="28">
        <f t="shared" si="28"/>
        <v>2.200471333308696E-3</v>
      </c>
    </row>
    <row r="1276" spans="1:5">
      <c r="A1276" s="30">
        <v>43489</v>
      </c>
      <c r="B1276" s="28">
        <v>36.594082</v>
      </c>
      <c r="C1276" s="28">
        <f t="shared" si="28"/>
        <v>-7.9579042537571022E-3</v>
      </c>
      <c r="D1276" s="31">
        <v>2642.33</v>
      </c>
      <c r="E1276" s="28">
        <f t="shared" si="28"/>
        <v>1.3747320396555432E-3</v>
      </c>
    </row>
    <row r="1277" spans="1:5">
      <c r="A1277" s="30">
        <v>43490</v>
      </c>
      <c r="B1277" s="28">
        <v>37.806694</v>
      </c>
      <c r="C1277" s="28">
        <f t="shared" si="28"/>
        <v>3.2599643549691047E-2</v>
      </c>
      <c r="D1277" s="31">
        <v>2664.76</v>
      </c>
      <c r="E1277" s="28">
        <f t="shared" si="28"/>
        <v>8.4528936024961705E-3</v>
      </c>
    </row>
    <row r="1278" spans="1:5">
      <c r="A1278" s="30">
        <v>43493</v>
      </c>
      <c r="B1278" s="28">
        <v>37.456820999999998</v>
      </c>
      <c r="C1278" s="28">
        <f t="shared" si="28"/>
        <v>-9.2973473340349239E-3</v>
      </c>
      <c r="D1278" s="31">
        <v>2643.85</v>
      </c>
      <c r="E1278" s="28">
        <f t="shared" si="28"/>
        <v>-7.8778091211158478E-3</v>
      </c>
    </row>
    <row r="1279" spans="1:5">
      <c r="A1279" s="30">
        <v>43494</v>
      </c>
      <c r="B1279" s="28">
        <v>37.068581000000002</v>
      </c>
      <c r="C1279" s="28">
        <f t="shared" si="28"/>
        <v>-1.0419092061790125E-2</v>
      </c>
      <c r="D1279" s="31">
        <v>2640</v>
      </c>
      <c r="E1279" s="28">
        <f t="shared" si="28"/>
        <v>-1.4572709979783426E-3</v>
      </c>
    </row>
    <row r="1280" spans="1:5">
      <c r="A1280" s="30">
        <v>43495</v>
      </c>
      <c r="B1280" s="28">
        <v>39.601649999999999</v>
      </c>
      <c r="C1280" s="28">
        <f t="shared" si="28"/>
        <v>6.610104656083679E-2</v>
      </c>
      <c r="D1280" s="31">
        <v>2681.05</v>
      </c>
      <c r="E1280" s="28">
        <f t="shared" si="28"/>
        <v>1.5429591679246102E-2</v>
      </c>
    </row>
    <row r="1281" spans="1:5">
      <c r="A1281" s="30">
        <v>43496</v>
      </c>
      <c r="B1281" s="28">
        <v>39.886833000000003</v>
      </c>
      <c r="C1281" s="28">
        <f t="shared" si="28"/>
        <v>7.1754853747658586E-3</v>
      </c>
      <c r="D1281" s="31">
        <v>2704.1</v>
      </c>
      <c r="E1281" s="28">
        <f t="shared" si="28"/>
        <v>8.560630907940894E-3</v>
      </c>
    </row>
    <row r="1282" spans="1:5">
      <c r="A1282" s="30">
        <v>43497</v>
      </c>
      <c r="B1282" s="28">
        <v>39.906005999999998</v>
      </c>
      <c r="C1282" s="28">
        <f t="shared" si="28"/>
        <v>4.8056944982223412E-4</v>
      </c>
      <c r="D1282" s="31">
        <v>2706.53</v>
      </c>
      <c r="E1282" s="28">
        <f t="shared" si="28"/>
        <v>8.9823187443282919E-4</v>
      </c>
    </row>
    <row r="1283" spans="1:5">
      <c r="A1283" s="30">
        <v>43500</v>
      </c>
      <c r="B1283" s="28">
        <v>41.039527999999997</v>
      </c>
      <c r="C1283" s="28">
        <f t="shared" si="28"/>
        <v>2.80088609380603E-2</v>
      </c>
      <c r="D1283" s="31">
        <v>2724.87</v>
      </c>
      <c r="E1283" s="28">
        <f t="shared" si="28"/>
        <v>6.7533489353567532E-3</v>
      </c>
    </row>
    <row r="1284" spans="1:5">
      <c r="A1284" s="30">
        <v>43501</v>
      </c>
      <c r="B1284" s="28">
        <v>41.741698999999997</v>
      </c>
      <c r="C1284" s="28">
        <f t="shared" si="28"/>
        <v>1.6964905359262119E-2</v>
      </c>
      <c r="D1284" s="31">
        <v>2737.7</v>
      </c>
      <c r="E1284" s="28">
        <f t="shared" si="28"/>
        <v>4.697431279443067E-3</v>
      </c>
    </row>
    <row r="1285" spans="1:5">
      <c r="A1285" s="30">
        <v>43502</v>
      </c>
      <c r="B1285" s="28">
        <v>41.756081000000002</v>
      </c>
      <c r="C1285" s="28">
        <f t="shared" ref="C1285:E1348" si="29">LN(B1285/B1284)</f>
        <v>3.4448820417097434E-4</v>
      </c>
      <c r="D1285" s="31">
        <v>2731.61</v>
      </c>
      <c r="E1285" s="28">
        <f t="shared" si="29"/>
        <v>-2.2269728784431774E-3</v>
      </c>
    </row>
    <row r="1286" spans="1:5">
      <c r="A1286" s="30">
        <v>43503</v>
      </c>
      <c r="B1286" s="28">
        <v>40.965252</v>
      </c>
      <c r="C1286" s="28">
        <f t="shared" si="29"/>
        <v>-1.9120898217471313E-2</v>
      </c>
      <c r="D1286" s="31">
        <v>2706.05</v>
      </c>
      <c r="E1286" s="28">
        <f t="shared" si="29"/>
        <v>-9.4011719208093036E-3</v>
      </c>
    </row>
    <row r="1287" spans="1:5">
      <c r="A1287" s="30">
        <v>43504</v>
      </c>
      <c r="B1287" s="28">
        <v>41.013382</v>
      </c>
      <c r="C1287" s="28">
        <f t="shared" si="29"/>
        <v>1.1742085268217676E-3</v>
      </c>
      <c r="D1287" s="31">
        <v>2707.88</v>
      </c>
      <c r="E1287" s="28">
        <f t="shared" si="29"/>
        <v>6.7603388654662077E-4</v>
      </c>
    </row>
    <row r="1288" spans="1:5">
      <c r="A1288" s="30">
        <v>43507</v>
      </c>
      <c r="B1288" s="28">
        <v>40.777515000000001</v>
      </c>
      <c r="C1288" s="28">
        <f t="shared" si="29"/>
        <v>-5.7675771386039585E-3</v>
      </c>
      <c r="D1288" s="31">
        <v>2709.8</v>
      </c>
      <c r="E1288" s="28">
        <f t="shared" si="29"/>
        <v>7.0879050825508596E-4</v>
      </c>
    </row>
    <row r="1289" spans="1:5">
      <c r="A1289" s="30">
        <v>43508</v>
      </c>
      <c r="B1289" s="28">
        <v>41.128898999999997</v>
      </c>
      <c r="C1289" s="28">
        <f t="shared" si="29"/>
        <v>8.5801865462333572E-3</v>
      </c>
      <c r="D1289" s="31">
        <v>2744.73</v>
      </c>
      <c r="E1289" s="28">
        <f t="shared" si="29"/>
        <v>1.2807878037835878E-2</v>
      </c>
    </row>
    <row r="1290" spans="1:5">
      <c r="A1290" s="30">
        <v>43509</v>
      </c>
      <c r="B1290" s="28">
        <v>40.958022999999997</v>
      </c>
      <c r="C1290" s="28">
        <f t="shared" si="29"/>
        <v>-4.1633001373115328E-3</v>
      </c>
      <c r="D1290" s="31">
        <v>2753.03</v>
      </c>
      <c r="E1290" s="28">
        <f t="shared" si="29"/>
        <v>3.0194138361176875E-3</v>
      </c>
    </row>
    <row r="1291" spans="1:5">
      <c r="A1291" s="30">
        <v>43510</v>
      </c>
      <c r="B1291" s="28">
        <v>41.107242999999997</v>
      </c>
      <c r="C1291" s="28">
        <f t="shared" si="29"/>
        <v>3.6366217213761993E-3</v>
      </c>
      <c r="D1291" s="31">
        <v>2745.73</v>
      </c>
      <c r="E1291" s="28">
        <f t="shared" si="29"/>
        <v>-2.6551456286969719E-3</v>
      </c>
    </row>
    <row r="1292" spans="1:5">
      <c r="A1292" s="30">
        <v>43511</v>
      </c>
      <c r="B1292" s="28">
        <v>41.015780999999997</v>
      </c>
      <c r="C1292" s="28">
        <f t="shared" si="29"/>
        <v>-2.2274395988054561E-3</v>
      </c>
      <c r="D1292" s="31">
        <v>2775.6</v>
      </c>
      <c r="E1292" s="28">
        <f t="shared" si="29"/>
        <v>1.0819962367806283E-2</v>
      </c>
    </row>
    <row r="1293" spans="1:5">
      <c r="A1293" s="30">
        <v>43515</v>
      </c>
      <c r="B1293" s="28">
        <v>41.138531</v>
      </c>
      <c r="C1293" s="28">
        <f t="shared" si="29"/>
        <v>2.9882811591106068E-3</v>
      </c>
      <c r="D1293" s="31">
        <v>2779.76</v>
      </c>
      <c r="E1293" s="28">
        <f t="shared" si="29"/>
        <v>1.4976529973075329E-3</v>
      </c>
    </row>
    <row r="1294" spans="1:5">
      <c r="A1294" s="30">
        <v>43516</v>
      </c>
      <c r="B1294" s="28">
        <v>41.403267</v>
      </c>
      <c r="C1294" s="28">
        <f t="shared" si="29"/>
        <v>6.4146145147752718E-3</v>
      </c>
      <c r="D1294" s="31">
        <v>2784.7</v>
      </c>
      <c r="E1294" s="28">
        <f t="shared" si="29"/>
        <v>1.7755546082880141E-3</v>
      </c>
    </row>
    <row r="1295" spans="1:5">
      <c r="A1295" s="30">
        <v>43517</v>
      </c>
      <c r="B1295" s="28">
        <v>41.169815</v>
      </c>
      <c r="C1295" s="28">
        <f t="shared" si="29"/>
        <v>-5.6544485528334737E-3</v>
      </c>
      <c r="D1295" s="31">
        <v>2774.88</v>
      </c>
      <c r="E1295" s="28">
        <f t="shared" si="29"/>
        <v>-3.5326446287138233E-3</v>
      </c>
    </row>
    <row r="1296" spans="1:5">
      <c r="A1296" s="30">
        <v>43518</v>
      </c>
      <c r="B1296" s="28">
        <v>41.629517</v>
      </c>
      <c r="C1296" s="28">
        <f t="shared" si="29"/>
        <v>1.110411672119014E-2</v>
      </c>
      <c r="D1296" s="31">
        <v>2792.67</v>
      </c>
      <c r="E1296" s="28">
        <f t="shared" si="29"/>
        <v>6.3906244381742427E-3</v>
      </c>
    </row>
    <row r="1297" spans="1:5">
      <c r="A1297" s="30">
        <v>43521</v>
      </c>
      <c r="B1297" s="28">
        <v>41.932755</v>
      </c>
      <c r="C1297" s="28">
        <f t="shared" si="29"/>
        <v>7.2578048405810532E-3</v>
      </c>
      <c r="D1297" s="31">
        <v>2796.11</v>
      </c>
      <c r="E1297" s="28">
        <f t="shared" si="29"/>
        <v>1.2310380564024776E-3</v>
      </c>
    </row>
    <row r="1298" spans="1:5">
      <c r="A1298" s="30">
        <v>43522</v>
      </c>
      <c r="B1298" s="28">
        <v>41.956825000000002</v>
      </c>
      <c r="C1298" s="28">
        <f t="shared" si="29"/>
        <v>5.7384959277486834E-4</v>
      </c>
      <c r="D1298" s="31">
        <v>2793.9</v>
      </c>
      <c r="E1298" s="28">
        <f t="shared" si="29"/>
        <v>-7.9069630113047843E-4</v>
      </c>
    </row>
    <row r="1299" spans="1:5">
      <c r="A1299" s="30">
        <v>43523</v>
      </c>
      <c r="B1299" s="28">
        <v>42.086787999999999</v>
      </c>
      <c r="C1299" s="28">
        <f t="shared" si="29"/>
        <v>3.0927538441901281E-3</v>
      </c>
      <c r="D1299" s="31">
        <v>2792.38</v>
      </c>
      <c r="E1299" s="28">
        <f t="shared" si="29"/>
        <v>-5.4419042278991056E-4</v>
      </c>
    </row>
    <row r="1300" spans="1:5">
      <c r="A1300" s="30">
        <v>43524</v>
      </c>
      <c r="B1300" s="28">
        <v>41.672832</v>
      </c>
      <c r="C1300" s="28">
        <f t="shared" si="29"/>
        <v>-9.8844615191726222E-3</v>
      </c>
      <c r="D1300" s="31">
        <v>2784.49</v>
      </c>
      <c r="E1300" s="28">
        <f t="shared" si="29"/>
        <v>-2.8295460586895897E-3</v>
      </c>
    </row>
    <row r="1301" spans="1:5">
      <c r="A1301" s="30">
        <v>43525</v>
      </c>
      <c r="B1301" s="28">
        <v>42.110855000000001</v>
      </c>
      <c r="C1301" s="28">
        <f t="shared" si="29"/>
        <v>1.0456140245510883E-2</v>
      </c>
      <c r="D1301" s="31">
        <v>2803.69</v>
      </c>
      <c r="E1301" s="28">
        <f t="shared" si="29"/>
        <v>6.8716739803607518E-3</v>
      </c>
    </row>
    <row r="1302" spans="1:5">
      <c r="A1302" s="30">
        <v>43528</v>
      </c>
      <c r="B1302" s="28">
        <v>42.322654999999997</v>
      </c>
      <c r="C1302" s="28">
        <f t="shared" si="29"/>
        <v>5.0169759435832973E-3</v>
      </c>
      <c r="D1302" s="31">
        <v>2792.81</v>
      </c>
      <c r="E1302" s="28">
        <f t="shared" si="29"/>
        <v>-3.8881492742662512E-3</v>
      </c>
    </row>
    <row r="1303" spans="1:5">
      <c r="A1303" s="30">
        <v>43529</v>
      </c>
      <c r="B1303" s="28">
        <v>42.245632000000001</v>
      </c>
      <c r="C1303" s="28">
        <f t="shared" si="29"/>
        <v>-1.8215580338603818E-3</v>
      </c>
      <c r="D1303" s="31">
        <v>2789.65</v>
      </c>
      <c r="E1303" s="28">
        <f t="shared" si="29"/>
        <v>-1.1321175028613038E-3</v>
      </c>
    </row>
    <row r="1304" spans="1:5">
      <c r="A1304" s="30">
        <v>43530</v>
      </c>
      <c r="B1304" s="28">
        <v>42.002552000000001</v>
      </c>
      <c r="C1304" s="28">
        <f t="shared" si="29"/>
        <v>-5.7705855010400505E-3</v>
      </c>
      <c r="D1304" s="31">
        <v>2771.45</v>
      </c>
      <c r="E1304" s="28">
        <f t="shared" si="29"/>
        <v>-6.5454909924979043E-3</v>
      </c>
    </row>
    <row r="1305" spans="1:5">
      <c r="A1305" s="30">
        <v>43531</v>
      </c>
      <c r="B1305" s="28">
        <v>41.516392000000003</v>
      </c>
      <c r="C1305" s="28">
        <f t="shared" si="29"/>
        <v>-1.1642041140946253E-2</v>
      </c>
      <c r="D1305" s="31">
        <v>2748.93</v>
      </c>
      <c r="E1305" s="28">
        <f t="shared" si="29"/>
        <v>-8.1589038889600621E-3</v>
      </c>
    </row>
    <row r="1306" spans="1:5">
      <c r="A1306" s="30">
        <v>43532</v>
      </c>
      <c r="B1306" s="28">
        <v>41.615067000000003</v>
      </c>
      <c r="C1306" s="28">
        <f t="shared" si="29"/>
        <v>2.3739519919037627E-3</v>
      </c>
      <c r="D1306" s="31">
        <v>2743.07</v>
      </c>
      <c r="E1306" s="28">
        <f t="shared" si="29"/>
        <v>-2.1340139198386563E-3</v>
      </c>
    </row>
    <row r="1307" spans="1:5">
      <c r="A1307" s="30">
        <v>43535</v>
      </c>
      <c r="B1307" s="28">
        <v>43.056702000000001</v>
      </c>
      <c r="C1307" s="28">
        <f t="shared" si="29"/>
        <v>3.4055609006303757E-2</v>
      </c>
      <c r="D1307" s="31">
        <v>2783.3</v>
      </c>
      <c r="E1307" s="28">
        <f t="shared" si="29"/>
        <v>1.455954294099511E-2</v>
      </c>
    </row>
    <row r="1308" spans="1:5">
      <c r="A1308" s="30">
        <v>43536</v>
      </c>
      <c r="B1308" s="28">
        <v>43.540466000000002</v>
      </c>
      <c r="C1308" s="28">
        <f t="shared" si="29"/>
        <v>1.1172860351686383E-2</v>
      </c>
      <c r="D1308" s="31">
        <v>2791.52</v>
      </c>
      <c r="E1308" s="28">
        <f t="shared" si="29"/>
        <v>2.9489762744178273E-3</v>
      </c>
    </row>
    <row r="1309" spans="1:5">
      <c r="A1309" s="30">
        <v>43537</v>
      </c>
      <c r="B1309" s="28">
        <v>43.733001999999999</v>
      </c>
      <c r="C1309" s="28">
        <f t="shared" si="29"/>
        <v>4.4122530425191146E-3</v>
      </c>
      <c r="D1309" s="31">
        <v>2810.92</v>
      </c>
      <c r="E1309" s="28">
        <f t="shared" si="29"/>
        <v>6.9255815470474699E-3</v>
      </c>
    </row>
    <row r="1310" spans="1:5">
      <c r="A1310" s="30">
        <v>43538</v>
      </c>
      <c r="B1310" s="28">
        <v>44.219166000000001</v>
      </c>
      <c r="C1310" s="28">
        <f t="shared" si="29"/>
        <v>1.1055303413543219E-2</v>
      </c>
      <c r="D1310" s="31">
        <v>2808.48</v>
      </c>
      <c r="E1310" s="28">
        <f t="shared" si="29"/>
        <v>-8.6842017060344712E-4</v>
      </c>
    </row>
    <row r="1311" spans="1:5">
      <c r="A1311" s="30">
        <v>43539</v>
      </c>
      <c r="B1311" s="28">
        <v>44.794373</v>
      </c>
      <c r="C1311" s="28">
        <f t="shared" si="29"/>
        <v>1.2924213846480771E-2</v>
      </c>
      <c r="D1311" s="31">
        <v>2822.48</v>
      </c>
      <c r="E1311" s="28">
        <f t="shared" si="29"/>
        <v>4.972519373935739E-3</v>
      </c>
    </row>
    <row r="1312" spans="1:5">
      <c r="A1312" s="30">
        <v>43542</v>
      </c>
      <c r="B1312" s="28">
        <v>45.251655999999997</v>
      </c>
      <c r="C1312" s="28">
        <f t="shared" si="29"/>
        <v>1.0156737307684439E-2</v>
      </c>
      <c r="D1312" s="31">
        <v>2832.94</v>
      </c>
      <c r="E1312" s="28">
        <f t="shared" si="29"/>
        <v>3.6991105620370161E-3</v>
      </c>
    </row>
    <row r="1313" spans="1:5">
      <c r="A1313" s="30">
        <v>43543</v>
      </c>
      <c r="B1313" s="28">
        <v>44.893062999999998</v>
      </c>
      <c r="C1313" s="28">
        <f t="shared" si="29"/>
        <v>-7.9559822357637144E-3</v>
      </c>
      <c r="D1313" s="31">
        <v>2832.57</v>
      </c>
      <c r="E1313" s="28">
        <f t="shared" si="29"/>
        <v>-1.3061489628502955E-4</v>
      </c>
    </row>
    <row r="1314" spans="1:5">
      <c r="A1314" s="30">
        <v>43544</v>
      </c>
      <c r="B1314" s="28">
        <v>45.285355000000003</v>
      </c>
      <c r="C1314" s="28">
        <f t="shared" si="29"/>
        <v>8.7004071109398669E-3</v>
      </c>
      <c r="D1314" s="31">
        <v>2824.23</v>
      </c>
      <c r="E1314" s="28">
        <f t="shared" si="29"/>
        <v>-2.9486656918281009E-3</v>
      </c>
    </row>
    <row r="1315" spans="1:5">
      <c r="A1315" s="30">
        <v>43545</v>
      </c>
      <c r="B1315" s="28">
        <v>46.953232</v>
      </c>
      <c r="C1315" s="28">
        <f t="shared" si="29"/>
        <v>3.6168351439040229E-2</v>
      </c>
      <c r="D1315" s="31">
        <v>2854.88</v>
      </c>
      <c r="E1315" s="28">
        <f t="shared" si="29"/>
        <v>1.0794049627223466E-2</v>
      </c>
    </row>
    <row r="1316" spans="1:5">
      <c r="A1316" s="30">
        <v>43546</v>
      </c>
      <c r="B1316" s="28">
        <v>45.980899999999998</v>
      </c>
      <c r="C1316" s="28">
        <f t="shared" si="29"/>
        <v>-2.09259496044117E-2</v>
      </c>
      <c r="D1316" s="31">
        <v>2800.71</v>
      </c>
      <c r="E1316" s="28">
        <f t="shared" si="29"/>
        <v>-1.9156854235052909E-2</v>
      </c>
    </row>
    <row r="1317" spans="1:5">
      <c r="A1317" s="30">
        <v>43549</v>
      </c>
      <c r="B1317" s="28">
        <v>45.424950000000003</v>
      </c>
      <c r="C1317" s="28">
        <f t="shared" si="29"/>
        <v>-1.2164579305016198E-2</v>
      </c>
      <c r="D1317" s="31">
        <v>2798.36</v>
      </c>
      <c r="E1317" s="28">
        <f t="shared" si="29"/>
        <v>-8.3942516810502456E-4</v>
      </c>
    </row>
    <row r="1318" spans="1:5">
      <c r="A1318" s="30">
        <v>43550</v>
      </c>
      <c r="B1318" s="28">
        <v>44.955624</v>
      </c>
      <c r="C1318" s="28">
        <f t="shared" si="29"/>
        <v>-1.0385643678547872E-2</v>
      </c>
      <c r="D1318" s="31">
        <v>2818.46</v>
      </c>
      <c r="E1318" s="28">
        <f t="shared" si="29"/>
        <v>7.1571051948916761E-3</v>
      </c>
    </row>
    <row r="1319" spans="1:5">
      <c r="A1319" s="30">
        <v>43551</v>
      </c>
      <c r="B1319" s="28">
        <v>45.359969999999997</v>
      </c>
      <c r="C1319" s="28">
        <f t="shared" si="29"/>
        <v>8.9541281560003468E-3</v>
      </c>
      <c r="D1319" s="31">
        <v>2805.37</v>
      </c>
      <c r="E1319" s="28">
        <f t="shared" si="29"/>
        <v>-4.6551989086819415E-3</v>
      </c>
    </row>
    <row r="1320" spans="1:5">
      <c r="A1320" s="30">
        <v>43552</v>
      </c>
      <c r="B1320" s="28">
        <v>45.420132000000002</v>
      </c>
      <c r="C1320" s="28">
        <f t="shared" si="29"/>
        <v>1.3254448382915853E-3</v>
      </c>
      <c r="D1320" s="31">
        <v>2815.44</v>
      </c>
      <c r="E1320" s="28">
        <f t="shared" si="29"/>
        <v>3.5831172994041961E-3</v>
      </c>
    </row>
    <row r="1321" spans="1:5">
      <c r="A1321" s="30">
        <v>43553</v>
      </c>
      <c r="B1321" s="28">
        <v>45.716166999999999</v>
      </c>
      <c r="C1321" s="28">
        <f t="shared" si="29"/>
        <v>6.4965561347842954E-3</v>
      </c>
      <c r="D1321" s="31">
        <v>2834.4</v>
      </c>
      <c r="E1321" s="28">
        <f t="shared" si="29"/>
        <v>6.7117196856877198E-3</v>
      </c>
    </row>
    <row r="1322" spans="1:5">
      <c r="A1322" s="30">
        <v>43556</v>
      </c>
      <c r="B1322" s="28">
        <v>46.026637999999998</v>
      </c>
      <c r="C1322" s="28">
        <f t="shared" si="29"/>
        <v>6.7683168227753287E-3</v>
      </c>
      <c r="D1322" s="31">
        <v>2867.19</v>
      </c>
      <c r="E1322" s="28">
        <f t="shared" si="29"/>
        <v>1.1502181500052781E-2</v>
      </c>
    </row>
    <row r="1323" spans="1:5">
      <c r="A1323" s="30">
        <v>43557</v>
      </c>
      <c r="B1323" s="28">
        <v>46.695704999999997</v>
      </c>
      <c r="C1323" s="28">
        <f t="shared" si="29"/>
        <v>1.4431874584468842E-2</v>
      </c>
      <c r="D1323" s="31">
        <v>2867.24</v>
      </c>
      <c r="E1323" s="28">
        <f t="shared" si="29"/>
        <v>1.7438524840564605E-5</v>
      </c>
    </row>
    <row r="1324" spans="1:5">
      <c r="A1324" s="30">
        <v>43558</v>
      </c>
      <c r="B1324" s="28">
        <v>47.015804000000003</v>
      </c>
      <c r="C1324" s="28">
        <f t="shared" si="29"/>
        <v>6.8316100841211286E-3</v>
      </c>
      <c r="D1324" s="31">
        <v>2873.4</v>
      </c>
      <c r="E1324" s="28">
        <f t="shared" si="29"/>
        <v>2.1461030004631186E-3</v>
      </c>
    </row>
    <row r="1325" spans="1:5">
      <c r="A1325" s="30">
        <v>43559</v>
      </c>
      <c r="B1325" s="28">
        <v>47.097633000000002</v>
      </c>
      <c r="C1325" s="28">
        <f t="shared" si="29"/>
        <v>1.7389444744307626E-3</v>
      </c>
      <c r="D1325" s="31">
        <v>2879.39</v>
      </c>
      <c r="E1325" s="28">
        <f t="shared" si="29"/>
        <v>2.0824685638528733E-3</v>
      </c>
    </row>
    <row r="1326" spans="1:5">
      <c r="A1326" s="30">
        <v>43560</v>
      </c>
      <c r="B1326" s="28">
        <v>47.412917999999998</v>
      </c>
      <c r="C1326" s="28">
        <f t="shared" si="29"/>
        <v>6.6719782341090423E-3</v>
      </c>
      <c r="D1326" s="31">
        <v>2892.74</v>
      </c>
      <c r="E1326" s="28">
        <f t="shared" si="29"/>
        <v>4.6256836918425713E-3</v>
      </c>
    </row>
    <row r="1327" spans="1:5">
      <c r="A1327" s="30">
        <v>43563</v>
      </c>
      <c r="B1327" s="28">
        <v>48.159011999999997</v>
      </c>
      <c r="C1327" s="28">
        <f t="shared" si="29"/>
        <v>1.5613562623367553E-2</v>
      </c>
      <c r="D1327" s="31">
        <v>2895.77</v>
      </c>
      <c r="E1327" s="28">
        <f t="shared" si="29"/>
        <v>1.0469016298636597E-3</v>
      </c>
    </row>
    <row r="1328" spans="1:5">
      <c r="A1328" s="30">
        <v>43564</v>
      </c>
      <c r="B1328" s="28">
        <v>48.014606000000001</v>
      </c>
      <c r="C1328" s="28">
        <f t="shared" si="29"/>
        <v>-3.0030295527268712E-3</v>
      </c>
      <c r="D1328" s="31">
        <v>2878.2</v>
      </c>
      <c r="E1328" s="28">
        <f t="shared" si="29"/>
        <v>-6.0859527261046698E-3</v>
      </c>
    </row>
    <row r="1329" spans="1:5">
      <c r="A1329" s="30">
        <v>43565</v>
      </c>
      <c r="B1329" s="28">
        <v>48.284160999999997</v>
      </c>
      <c r="C1329" s="28">
        <f t="shared" si="29"/>
        <v>5.5983209839922431E-3</v>
      </c>
      <c r="D1329" s="31">
        <v>2888.21</v>
      </c>
      <c r="E1329" s="28">
        <f t="shared" si="29"/>
        <v>3.4718343144997492E-3</v>
      </c>
    </row>
    <row r="1330" spans="1:5">
      <c r="A1330" s="30">
        <v>43566</v>
      </c>
      <c r="B1330" s="28">
        <v>47.882232999999999</v>
      </c>
      <c r="C1330" s="28">
        <f t="shared" si="29"/>
        <v>-8.3590602420484435E-3</v>
      </c>
      <c r="D1330" s="31">
        <v>2888.32</v>
      </c>
      <c r="E1330" s="28">
        <f t="shared" si="29"/>
        <v>3.8085148008697833E-5</v>
      </c>
    </row>
    <row r="1331" spans="1:5">
      <c r="A1331" s="30">
        <v>43567</v>
      </c>
      <c r="B1331" s="28">
        <v>47.862988000000001</v>
      </c>
      <c r="C1331" s="28">
        <f t="shared" si="29"/>
        <v>-4.0200440415035399E-4</v>
      </c>
      <c r="D1331" s="31">
        <v>2907.41</v>
      </c>
      <c r="E1331" s="28">
        <f t="shared" si="29"/>
        <v>6.5876322869365339E-3</v>
      </c>
    </row>
    <row r="1332" spans="1:5">
      <c r="A1332" s="30">
        <v>43570</v>
      </c>
      <c r="B1332" s="28">
        <v>47.949630999999997</v>
      </c>
      <c r="C1332" s="28">
        <f t="shared" si="29"/>
        <v>1.8085931586422725E-3</v>
      </c>
      <c r="D1332" s="31">
        <v>2905.58</v>
      </c>
      <c r="E1332" s="28">
        <f t="shared" si="29"/>
        <v>-6.2962436214583303E-4</v>
      </c>
    </row>
    <row r="1333" spans="1:5">
      <c r="A1333" s="30">
        <v>43571</v>
      </c>
      <c r="B1333" s="28">
        <v>47.954430000000002</v>
      </c>
      <c r="C1333" s="28">
        <f t="shared" si="29"/>
        <v>1.0007918234062563E-4</v>
      </c>
      <c r="D1333" s="31">
        <v>2907.06</v>
      </c>
      <c r="E1333" s="28">
        <f t="shared" si="29"/>
        <v>5.0923505738616681E-4</v>
      </c>
    </row>
    <row r="1334" spans="1:5">
      <c r="A1334" s="30">
        <v>43572</v>
      </c>
      <c r="B1334" s="28">
        <v>48.888252000000001</v>
      </c>
      <c r="C1334" s="28">
        <f t="shared" si="29"/>
        <v>1.928593725249023E-2</v>
      </c>
      <c r="D1334" s="31">
        <v>2900.45</v>
      </c>
      <c r="E1334" s="28">
        <f t="shared" si="29"/>
        <v>-2.2763638303940604E-3</v>
      </c>
    </row>
    <row r="1335" spans="1:5">
      <c r="A1335" s="30">
        <v>43573</v>
      </c>
      <c r="B1335" s="28">
        <v>49.063938</v>
      </c>
      <c r="C1335" s="28">
        <f t="shared" si="29"/>
        <v>3.5871824487460975E-3</v>
      </c>
      <c r="D1335" s="31">
        <v>2905.03</v>
      </c>
      <c r="E1335" s="28">
        <f t="shared" si="29"/>
        <v>1.5778199046987368E-3</v>
      </c>
    </row>
    <row r="1336" spans="1:5">
      <c r="A1336" s="30">
        <v>43577</v>
      </c>
      <c r="B1336" s="28">
        <v>49.225197000000001</v>
      </c>
      <c r="C1336" s="28">
        <f t="shared" si="29"/>
        <v>3.2813218814183795E-3</v>
      </c>
      <c r="D1336" s="31">
        <v>2907.97</v>
      </c>
      <c r="E1336" s="28">
        <f t="shared" si="29"/>
        <v>1.0115259764941317E-3</v>
      </c>
    </row>
    <row r="1337" spans="1:5">
      <c r="A1337" s="30">
        <v>43578</v>
      </c>
      <c r="B1337" s="28">
        <v>49.935187999999997</v>
      </c>
      <c r="C1337" s="28">
        <f t="shared" si="29"/>
        <v>1.4320298033704127E-2</v>
      </c>
      <c r="D1337" s="31">
        <v>2933.68</v>
      </c>
      <c r="E1337" s="28">
        <f t="shared" si="29"/>
        <v>8.8023644018914056E-3</v>
      </c>
    </row>
    <row r="1338" spans="1:5">
      <c r="A1338" s="30">
        <v>43579</v>
      </c>
      <c r="B1338" s="28">
        <v>49.858176999999998</v>
      </c>
      <c r="C1338" s="28">
        <f t="shared" si="29"/>
        <v>-1.5434095300305207E-3</v>
      </c>
      <c r="D1338" s="31">
        <v>2927.25</v>
      </c>
      <c r="E1338" s="28">
        <f t="shared" si="29"/>
        <v>-2.1941919046150143E-3</v>
      </c>
    </row>
    <row r="1339" spans="1:5">
      <c r="A1339" s="30">
        <v>43580</v>
      </c>
      <c r="B1339" s="28">
        <v>49.405704</v>
      </c>
      <c r="C1339" s="28">
        <f t="shared" si="29"/>
        <v>-9.1166319370592514E-3</v>
      </c>
      <c r="D1339" s="31">
        <v>2926.17</v>
      </c>
      <c r="E1339" s="28">
        <f t="shared" si="29"/>
        <v>-3.6901504155019838E-4</v>
      </c>
    </row>
    <row r="1340" spans="1:5">
      <c r="A1340" s="30">
        <v>43581</v>
      </c>
      <c r="B1340" s="28">
        <v>49.169842000000003</v>
      </c>
      <c r="C1340" s="28">
        <f t="shared" si="29"/>
        <v>-4.7854150380666144E-3</v>
      </c>
      <c r="D1340" s="31">
        <v>2939.88</v>
      </c>
      <c r="E1340" s="28">
        <f t="shared" si="29"/>
        <v>4.6743634859040149E-3</v>
      </c>
    </row>
    <row r="1341" spans="1:5">
      <c r="A1341" s="30">
        <v>43584</v>
      </c>
      <c r="B1341" s="28">
        <v>49.244461000000001</v>
      </c>
      <c r="C1341" s="28">
        <f t="shared" si="29"/>
        <v>1.5164262109169306E-3</v>
      </c>
      <c r="D1341" s="31">
        <v>2943.03</v>
      </c>
      <c r="E1341" s="28">
        <f t="shared" si="29"/>
        <v>1.0708986882482718E-3</v>
      </c>
    </row>
    <row r="1342" spans="1:5">
      <c r="A1342" s="30">
        <v>43585</v>
      </c>
      <c r="B1342" s="28">
        <v>48.296199999999999</v>
      </c>
      <c r="C1342" s="28">
        <f t="shared" si="29"/>
        <v>-1.9444011672883142E-2</v>
      </c>
      <c r="D1342" s="31">
        <v>2945.83</v>
      </c>
      <c r="E1342" s="28">
        <f t="shared" si="29"/>
        <v>9.5094813291652096E-4</v>
      </c>
    </row>
    <row r="1343" spans="1:5">
      <c r="A1343" s="30">
        <v>43586</v>
      </c>
      <c r="B1343" s="28">
        <v>50.666840000000001</v>
      </c>
      <c r="C1343" s="28">
        <f t="shared" si="29"/>
        <v>4.7918770609695772E-2</v>
      </c>
      <c r="D1343" s="31">
        <v>2923.73</v>
      </c>
      <c r="E1343" s="28">
        <f t="shared" si="29"/>
        <v>-7.5304126495015673E-3</v>
      </c>
    </row>
    <row r="1344" spans="1:5">
      <c r="A1344" s="30">
        <v>43587</v>
      </c>
      <c r="B1344" s="28">
        <v>50.337124000000003</v>
      </c>
      <c r="C1344" s="28">
        <f t="shared" si="29"/>
        <v>-6.5287966556040892E-3</v>
      </c>
      <c r="D1344" s="31">
        <v>2917.52</v>
      </c>
      <c r="E1344" s="28">
        <f t="shared" si="29"/>
        <v>-2.1262580234037609E-3</v>
      </c>
    </row>
    <row r="1345" spans="1:5">
      <c r="A1345" s="30">
        <v>43588</v>
      </c>
      <c r="B1345" s="28">
        <v>50.962871999999997</v>
      </c>
      <c r="C1345" s="28">
        <f t="shared" si="29"/>
        <v>1.2354511034303548E-2</v>
      </c>
      <c r="D1345" s="31">
        <v>2945.64</v>
      </c>
      <c r="E1345" s="28">
        <f t="shared" si="29"/>
        <v>9.5921706414815368E-3</v>
      </c>
    </row>
    <row r="1346" spans="1:5">
      <c r="A1346" s="30">
        <v>43591</v>
      </c>
      <c r="B1346" s="28">
        <v>50.175868999999999</v>
      </c>
      <c r="C1346" s="28">
        <f t="shared" si="29"/>
        <v>-1.5563153689060501E-2</v>
      </c>
      <c r="D1346" s="31">
        <v>2932.47</v>
      </c>
      <c r="E1346" s="28">
        <f t="shared" si="29"/>
        <v>-4.4810396666553265E-3</v>
      </c>
    </row>
    <row r="1347" spans="1:5">
      <c r="A1347" s="30">
        <v>43592</v>
      </c>
      <c r="B1347" s="28">
        <v>48.823276999999997</v>
      </c>
      <c r="C1347" s="28">
        <f t="shared" si="29"/>
        <v>-2.7327027073039949E-2</v>
      </c>
      <c r="D1347" s="31">
        <v>2884.05</v>
      </c>
      <c r="E1347" s="28">
        <f t="shared" si="29"/>
        <v>-1.6649515009818341E-2</v>
      </c>
    </row>
    <row r="1348" spans="1:5">
      <c r="A1348" s="30">
        <v>43593</v>
      </c>
      <c r="B1348" s="28">
        <v>48.832897000000003</v>
      </c>
      <c r="C1348" s="28">
        <f t="shared" si="29"/>
        <v>1.970177539643882E-4</v>
      </c>
      <c r="D1348" s="31">
        <v>2879.42</v>
      </c>
      <c r="E1348" s="28">
        <f t="shared" si="29"/>
        <v>-1.6066713268179022E-3</v>
      </c>
    </row>
    <row r="1349" spans="1:5">
      <c r="A1349" s="30">
        <v>43594</v>
      </c>
      <c r="B1349" s="28">
        <v>48.308230999999999</v>
      </c>
      <c r="C1349" s="28">
        <f t="shared" ref="C1349:E1412" si="30">LN(B1349/B1348)</f>
        <v>-1.0802244377137789E-2</v>
      </c>
      <c r="D1349" s="31">
        <v>2870.72</v>
      </c>
      <c r="E1349" s="28">
        <f t="shared" si="30"/>
        <v>-3.0260155887187833E-3</v>
      </c>
    </row>
    <row r="1350" spans="1:5">
      <c r="A1350" s="30">
        <v>43595</v>
      </c>
      <c r="B1350" s="28">
        <v>47.638992000000002</v>
      </c>
      <c r="C1350" s="28">
        <f t="shared" si="30"/>
        <v>-1.3950374645297416E-2</v>
      </c>
      <c r="D1350" s="31">
        <v>2881.4</v>
      </c>
      <c r="E1350" s="28">
        <f t="shared" si="30"/>
        <v>3.7134177564540913E-3</v>
      </c>
    </row>
    <row r="1351" spans="1:5">
      <c r="A1351" s="30">
        <v>43598</v>
      </c>
      <c r="B1351" s="28">
        <v>44.870243000000002</v>
      </c>
      <c r="C1351" s="28">
        <f t="shared" si="30"/>
        <v>-5.9876749954650109E-2</v>
      </c>
      <c r="D1351" s="31">
        <v>2811.87</v>
      </c>
      <c r="E1351" s="28">
        <f t="shared" si="30"/>
        <v>-2.4426544706444165E-2</v>
      </c>
    </row>
    <row r="1352" spans="1:5">
      <c r="A1352" s="30">
        <v>43599</v>
      </c>
      <c r="B1352" s="28">
        <v>45.580544000000003</v>
      </c>
      <c r="C1352" s="28">
        <f t="shared" si="30"/>
        <v>1.5706123187127816E-2</v>
      </c>
      <c r="D1352" s="31">
        <v>2834.41</v>
      </c>
      <c r="E1352" s="28">
        <f t="shared" si="30"/>
        <v>7.9840602076551824E-3</v>
      </c>
    </row>
    <row r="1353" spans="1:5">
      <c r="A1353" s="30">
        <v>43600</v>
      </c>
      <c r="B1353" s="28">
        <v>46.126564000000002</v>
      </c>
      <c r="C1353" s="28">
        <f t="shared" si="30"/>
        <v>1.1908050839358834E-2</v>
      </c>
      <c r="D1353" s="31">
        <v>2850.96</v>
      </c>
      <c r="E1353" s="28">
        <f t="shared" si="30"/>
        <v>5.8219770208102466E-3</v>
      </c>
    </row>
    <row r="1354" spans="1:5">
      <c r="A1354" s="30">
        <v>43601</v>
      </c>
      <c r="B1354" s="28">
        <v>45.923630000000003</v>
      </c>
      <c r="C1354" s="28">
        <f t="shared" si="30"/>
        <v>-4.4092102352801792E-3</v>
      </c>
      <c r="D1354" s="31">
        <v>2876.32</v>
      </c>
      <c r="E1354" s="28">
        <f t="shared" si="30"/>
        <v>8.8559196487121624E-3</v>
      </c>
    </row>
    <row r="1355" spans="1:5">
      <c r="A1355" s="30">
        <v>43602</v>
      </c>
      <c r="B1355" s="28">
        <v>45.662697000000001</v>
      </c>
      <c r="C1355" s="28">
        <f t="shared" si="30"/>
        <v>-5.6980930352864938E-3</v>
      </c>
      <c r="D1355" s="31">
        <v>2859.53</v>
      </c>
      <c r="E1355" s="28">
        <f t="shared" si="30"/>
        <v>-5.8544236531281706E-3</v>
      </c>
    </row>
    <row r="1356" spans="1:5">
      <c r="A1356" s="30">
        <v>43605</v>
      </c>
      <c r="B1356" s="28">
        <v>44.234828999999998</v>
      </c>
      <c r="C1356" s="28">
        <f t="shared" si="30"/>
        <v>-3.1769241163659694E-2</v>
      </c>
      <c r="D1356" s="31">
        <v>2840.23</v>
      </c>
      <c r="E1356" s="28">
        <f t="shared" si="30"/>
        <v>-6.7722408534153554E-3</v>
      </c>
    </row>
    <row r="1357" spans="1:5">
      <c r="A1357" s="30">
        <v>43606</v>
      </c>
      <c r="B1357" s="28">
        <v>45.082855000000002</v>
      </c>
      <c r="C1357" s="28">
        <f t="shared" si="30"/>
        <v>1.8989553809994175E-2</v>
      </c>
      <c r="D1357" s="31">
        <v>2864.36</v>
      </c>
      <c r="E1357" s="28">
        <f t="shared" si="30"/>
        <v>8.4599047136238066E-3</v>
      </c>
    </row>
    <row r="1358" spans="1:5">
      <c r="A1358" s="30">
        <v>43607</v>
      </c>
      <c r="B1358" s="28">
        <v>44.159927000000003</v>
      </c>
      <c r="C1358" s="28">
        <f t="shared" si="30"/>
        <v>-2.0684270132915877E-2</v>
      </c>
      <c r="D1358" s="31">
        <v>2856.27</v>
      </c>
      <c r="E1358" s="28">
        <f t="shared" si="30"/>
        <v>-2.8283616990028514E-3</v>
      </c>
    </row>
    <row r="1359" spans="1:5">
      <c r="A1359" s="30">
        <v>43608</v>
      </c>
      <c r="B1359" s="28">
        <v>43.406131999999999</v>
      </c>
      <c r="C1359" s="28">
        <f t="shared" si="30"/>
        <v>-1.7217027439361231E-2</v>
      </c>
      <c r="D1359" s="31">
        <v>2822.24</v>
      </c>
      <c r="E1359" s="28">
        <f t="shared" si="30"/>
        <v>-1.1985681943016436E-2</v>
      </c>
    </row>
    <row r="1360" spans="1:5">
      <c r="A1360" s="30">
        <v>43609</v>
      </c>
      <c r="B1360" s="28">
        <v>43.239429000000001</v>
      </c>
      <c r="C1360" s="28">
        <f t="shared" si="30"/>
        <v>-3.8479341299887488E-3</v>
      </c>
      <c r="D1360" s="31">
        <v>2826.06</v>
      </c>
      <c r="E1360" s="28">
        <f t="shared" si="30"/>
        <v>1.3526195784275823E-3</v>
      </c>
    </row>
    <row r="1361" spans="1:5">
      <c r="A1361" s="30">
        <v>43613</v>
      </c>
      <c r="B1361" s="28">
        <v>43.060642000000001</v>
      </c>
      <c r="C1361" s="28">
        <f t="shared" si="30"/>
        <v>-4.1433860646368312E-3</v>
      </c>
      <c r="D1361" s="31">
        <v>2802.39</v>
      </c>
      <c r="E1361" s="28">
        <f t="shared" si="30"/>
        <v>-8.4108909346528385E-3</v>
      </c>
    </row>
    <row r="1362" spans="1:5">
      <c r="A1362" s="30">
        <v>43614</v>
      </c>
      <c r="B1362" s="28">
        <v>42.855286</v>
      </c>
      <c r="C1362" s="28">
        <f t="shared" si="30"/>
        <v>-4.780403258182726E-3</v>
      </c>
      <c r="D1362" s="31">
        <v>2783.02</v>
      </c>
      <c r="E1362" s="28">
        <f t="shared" si="30"/>
        <v>-6.9359555174738127E-3</v>
      </c>
    </row>
    <row r="1363" spans="1:5">
      <c r="A1363" s="30">
        <v>43615</v>
      </c>
      <c r="B1363" s="28">
        <v>43.077559999999998</v>
      </c>
      <c r="C1363" s="28">
        <f t="shared" si="30"/>
        <v>5.1732138770424207E-3</v>
      </c>
      <c r="D1363" s="31">
        <v>2788.86</v>
      </c>
      <c r="E1363" s="28">
        <f t="shared" si="30"/>
        <v>2.0962411748005594E-3</v>
      </c>
    </row>
    <row r="1364" spans="1:5">
      <c r="A1364" s="30">
        <v>43616</v>
      </c>
      <c r="B1364" s="28">
        <v>42.297184000000001</v>
      </c>
      <c r="C1364" s="28">
        <f t="shared" si="30"/>
        <v>-1.8281700140443672E-2</v>
      </c>
      <c r="D1364" s="31">
        <v>2752.06</v>
      </c>
      <c r="E1364" s="28">
        <f t="shared" si="30"/>
        <v>-1.3283188023120184E-2</v>
      </c>
    </row>
    <row r="1365" spans="1:5">
      <c r="A1365" s="30">
        <v>43619</v>
      </c>
      <c r="B1365" s="28">
        <v>41.869548999999999</v>
      </c>
      <c r="C1365" s="28">
        <f t="shared" si="30"/>
        <v>-1.0161703194548198E-2</v>
      </c>
      <c r="D1365" s="31">
        <v>2744.45</v>
      </c>
      <c r="E1365" s="28">
        <f t="shared" si="30"/>
        <v>-2.7690315718501501E-3</v>
      </c>
    </row>
    <row r="1366" spans="1:5">
      <c r="A1366" s="30">
        <v>43620</v>
      </c>
      <c r="B1366" s="28">
        <v>43.401305999999998</v>
      </c>
      <c r="C1366" s="28">
        <f t="shared" si="30"/>
        <v>3.5930724281853281E-2</v>
      </c>
      <c r="D1366" s="31">
        <v>2803.27</v>
      </c>
      <c r="E1366" s="28">
        <f t="shared" si="30"/>
        <v>2.1205902322179549E-2</v>
      </c>
    </row>
    <row r="1367" spans="1:5">
      <c r="A1367" s="30">
        <v>43621</v>
      </c>
      <c r="B1367" s="28">
        <v>44.101948</v>
      </c>
      <c r="C1367" s="28">
        <f t="shared" si="30"/>
        <v>1.6014420993334777E-2</v>
      </c>
      <c r="D1367" s="31">
        <v>2826.15</v>
      </c>
      <c r="E1367" s="28">
        <f t="shared" si="30"/>
        <v>8.1287685006414707E-3</v>
      </c>
    </row>
    <row r="1368" spans="1:5">
      <c r="A1368" s="30">
        <v>43622</v>
      </c>
      <c r="B1368" s="28">
        <v>44.749439000000002</v>
      </c>
      <c r="C1368" s="28">
        <f t="shared" si="30"/>
        <v>1.4574954516602668E-2</v>
      </c>
      <c r="D1368" s="31">
        <v>2843.49</v>
      </c>
      <c r="E1368" s="28">
        <f t="shared" si="30"/>
        <v>6.1168095558660623E-3</v>
      </c>
    </row>
    <row r="1369" spans="1:5">
      <c r="A1369" s="30">
        <v>43623</v>
      </c>
      <c r="B1369" s="28">
        <v>45.940539999999999</v>
      </c>
      <c r="C1369" s="28">
        <f t="shared" si="30"/>
        <v>2.6269043324776229E-2</v>
      </c>
      <c r="D1369" s="31">
        <v>2873.34</v>
      </c>
      <c r="E1369" s="28">
        <f t="shared" si="30"/>
        <v>1.0442945224567081E-2</v>
      </c>
    </row>
    <row r="1370" spans="1:5">
      <c r="A1370" s="30">
        <v>43626</v>
      </c>
      <c r="B1370" s="28">
        <v>46.527630000000002</v>
      </c>
      <c r="C1370" s="28">
        <f t="shared" si="30"/>
        <v>1.2698378024398825E-2</v>
      </c>
      <c r="D1370" s="31">
        <v>2886.73</v>
      </c>
      <c r="E1370" s="28">
        <f t="shared" si="30"/>
        <v>4.6492574289522378E-3</v>
      </c>
    </row>
    <row r="1371" spans="1:5">
      <c r="A1371" s="30">
        <v>43627</v>
      </c>
      <c r="B1371" s="28">
        <v>47.066398999999997</v>
      </c>
      <c r="C1371" s="28">
        <f t="shared" si="30"/>
        <v>1.1513019727412671E-2</v>
      </c>
      <c r="D1371" s="31">
        <v>2885.72</v>
      </c>
      <c r="E1371" s="28">
        <f t="shared" si="30"/>
        <v>-3.4993807146250003E-4</v>
      </c>
    </row>
    <row r="1372" spans="1:5">
      <c r="A1372" s="30">
        <v>43628</v>
      </c>
      <c r="B1372" s="28">
        <v>46.916598999999998</v>
      </c>
      <c r="C1372" s="28">
        <f t="shared" si="30"/>
        <v>-3.1878133289072754E-3</v>
      </c>
      <c r="D1372" s="31">
        <v>2879.84</v>
      </c>
      <c r="E1372" s="28">
        <f t="shared" si="30"/>
        <v>-2.0396984988729416E-3</v>
      </c>
    </row>
    <row r="1373" spans="1:5">
      <c r="A1373" s="30">
        <v>43629</v>
      </c>
      <c r="B1373" s="28">
        <v>46.906936999999999</v>
      </c>
      <c r="C1373" s="28">
        <f t="shared" si="30"/>
        <v>-2.0596111479216864E-4</v>
      </c>
      <c r="D1373" s="31">
        <v>2891.64</v>
      </c>
      <c r="E1373" s="28">
        <f t="shared" si="30"/>
        <v>4.0890781712417494E-3</v>
      </c>
    </row>
    <row r="1374" spans="1:5">
      <c r="A1374" s="30">
        <v>43630</v>
      </c>
      <c r="B1374" s="28">
        <v>46.566284000000003</v>
      </c>
      <c r="C1374" s="28">
        <f t="shared" si="30"/>
        <v>-7.2888150104438183E-3</v>
      </c>
      <c r="D1374" s="31">
        <v>2886.98</v>
      </c>
      <c r="E1374" s="28">
        <f t="shared" si="30"/>
        <v>-1.612842169983723E-3</v>
      </c>
    </row>
    <row r="1375" spans="1:5">
      <c r="A1375" s="30">
        <v>43633</v>
      </c>
      <c r="B1375" s="28">
        <v>46.844119999999997</v>
      </c>
      <c r="C1375" s="28">
        <f t="shared" si="30"/>
        <v>5.9487339188641249E-3</v>
      </c>
      <c r="D1375" s="31">
        <v>2889.67</v>
      </c>
      <c r="E1375" s="28">
        <f t="shared" si="30"/>
        <v>9.3133570302482102E-4</v>
      </c>
    </row>
    <row r="1376" spans="1:5">
      <c r="A1376" s="30">
        <v>43634</v>
      </c>
      <c r="B1376" s="28">
        <v>47.945824000000002</v>
      </c>
      <c r="C1376" s="28">
        <f t="shared" si="30"/>
        <v>2.3246212946587491E-2</v>
      </c>
      <c r="D1376" s="31">
        <v>2917.75</v>
      </c>
      <c r="E1376" s="28">
        <f t="shared" si="30"/>
        <v>9.670462557011119E-3</v>
      </c>
    </row>
    <row r="1377" spans="1:5">
      <c r="A1377" s="30">
        <v>43635</v>
      </c>
      <c r="B1377" s="28">
        <v>47.805695</v>
      </c>
      <c r="C1377" s="28">
        <f t="shared" si="30"/>
        <v>-2.9269321573816942E-3</v>
      </c>
      <c r="D1377" s="31">
        <v>2926.46</v>
      </c>
      <c r="E1377" s="28">
        <f t="shared" si="30"/>
        <v>2.9807301410620332E-3</v>
      </c>
    </row>
    <row r="1378" spans="1:5">
      <c r="A1378" s="30">
        <v>43636</v>
      </c>
      <c r="B1378" s="28">
        <v>48.18985</v>
      </c>
      <c r="C1378" s="28">
        <f t="shared" si="30"/>
        <v>8.003643308468705E-3</v>
      </c>
      <c r="D1378" s="31">
        <v>2954.18</v>
      </c>
      <c r="E1378" s="28">
        <f t="shared" si="30"/>
        <v>9.4276151277163066E-3</v>
      </c>
    </row>
    <row r="1379" spans="1:5">
      <c r="A1379" s="30">
        <v>43637</v>
      </c>
      <c r="B1379" s="28">
        <v>48.025554999999997</v>
      </c>
      <c r="C1379" s="28">
        <f t="shared" si="30"/>
        <v>-3.4151528995737968E-3</v>
      </c>
      <c r="D1379" s="31">
        <v>2950.46</v>
      </c>
      <c r="E1379" s="28">
        <f t="shared" si="30"/>
        <v>-1.2600261801485599E-3</v>
      </c>
    </row>
    <row r="1380" spans="1:5">
      <c r="A1380" s="30">
        <v>43640</v>
      </c>
      <c r="B1380" s="28">
        <v>47.977238</v>
      </c>
      <c r="C1380" s="28">
        <f t="shared" si="30"/>
        <v>-1.0065749666165367E-3</v>
      </c>
      <c r="D1380" s="31">
        <v>2945.35</v>
      </c>
      <c r="E1380" s="28">
        <f t="shared" si="30"/>
        <v>-1.7334348561240606E-3</v>
      </c>
    </row>
    <row r="1381" spans="1:5">
      <c r="A1381" s="30">
        <v>43641</v>
      </c>
      <c r="B1381" s="28">
        <v>47.250022999999999</v>
      </c>
      <c r="C1381" s="28">
        <f t="shared" si="30"/>
        <v>-1.5273549390107569E-2</v>
      </c>
      <c r="D1381" s="31">
        <v>2917.38</v>
      </c>
      <c r="E1381" s="28">
        <f t="shared" si="30"/>
        <v>-9.5417023155633419E-3</v>
      </c>
    </row>
    <row r="1382" spans="1:5">
      <c r="A1382" s="30">
        <v>43642</v>
      </c>
      <c r="B1382" s="28">
        <v>48.271988</v>
      </c>
      <c r="C1382" s="28">
        <f t="shared" si="30"/>
        <v>2.1398293113238515E-2</v>
      </c>
      <c r="D1382" s="31">
        <v>2913.78</v>
      </c>
      <c r="E1382" s="28">
        <f t="shared" si="30"/>
        <v>-1.2347459021461497E-3</v>
      </c>
    </row>
    <row r="1383" spans="1:5">
      <c r="A1383" s="30">
        <v>43643</v>
      </c>
      <c r="B1383" s="28">
        <v>48.257503999999997</v>
      </c>
      <c r="C1383" s="28">
        <f t="shared" si="30"/>
        <v>-3.0009481679863442E-4</v>
      </c>
      <c r="D1383" s="31">
        <v>2924.92</v>
      </c>
      <c r="E1383" s="28">
        <f t="shared" si="30"/>
        <v>3.8159225573172161E-3</v>
      </c>
    </row>
    <row r="1384" spans="1:5">
      <c r="A1384" s="30">
        <v>43644</v>
      </c>
      <c r="B1384" s="28">
        <v>47.817787000000003</v>
      </c>
      <c r="C1384" s="28">
        <f t="shared" si="30"/>
        <v>-9.153655757299246E-3</v>
      </c>
      <c r="D1384" s="31">
        <v>2941.76</v>
      </c>
      <c r="E1384" s="28">
        <f t="shared" si="30"/>
        <v>5.7409118108132217E-3</v>
      </c>
    </row>
    <row r="1385" spans="1:5">
      <c r="A1385" s="30">
        <v>43647</v>
      </c>
      <c r="B1385" s="28">
        <v>48.694789999999998</v>
      </c>
      <c r="C1385" s="28">
        <f t="shared" si="30"/>
        <v>1.8174359594845264E-2</v>
      </c>
      <c r="D1385" s="31">
        <v>2964.33</v>
      </c>
      <c r="E1385" s="28">
        <f t="shared" si="30"/>
        <v>7.6429955755801899E-3</v>
      </c>
    </row>
    <row r="1386" spans="1:5">
      <c r="A1386" s="30">
        <v>43648</v>
      </c>
      <c r="B1386" s="28">
        <v>48.979877000000002</v>
      </c>
      <c r="C1386" s="28">
        <f t="shared" si="30"/>
        <v>5.8374974456894702E-3</v>
      </c>
      <c r="D1386" s="31">
        <v>2973.01</v>
      </c>
      <c r="E1386" s="28">
        <f t="shared" si="30"/>
        <v>2.9238703472561083E-3</v>
      </c>
    </row>
    <row r="1387" spans="1:5">
      <c r="A1387" s="30">
        <v>43649</v>
      </c>
      <c r="B1387" s="28">
        <v>49.385769000000003</v>
      </c>
      <c r="C1387" s="28">
        <f t="shared" si="30"/>
        <v>8.2527654768769759E-3</v>
      </c>
      <c r="D1387" s="31">
        <v>2995.82</v>
      </c>
      <c r="E1387" s="28">
        <f t="shared" si="30"/>
        <v>7.6430761271929189E-3</v>
      </c>
    </row>
    <row r="1388" spans="1:5">
      <c r="A1388" s="30">
        <v>43651</v>
      </c>
      <c r="B1388" s="28">
        <v>49.342284999999997</v>
      </c>
      <c r="C1388" s="28">
        <f t="shared" si="30"/>
        <v>-8.8088443051489431E-4</v>
      </c>
      <c r="D1388" s="31">
        <v>2990.41</v>
      </c>
      <c r="E1388" s="28">
        <f t="shared" si="30"/>
        <v>-1.8074819954691978E-3</v>
      </c>
    </row>
    <row r="1389" spans="1:5">
      <c r="A1389" s="30">
        <v>43654</v>
      </c>
      <c r="B1389" s="28">
        <v>48.325138000000003</v>
      </c>
      <c r="C1389" s="28">
        <f t="shared" si="30"/>
        <v>-2.0829540583070516E-2</v>
      </c>
      <c r="D1389" s="31">
        <v>2975.95</v>
      </c>
      <c r="E1389" s="28">
        <f t="shared" si="30"/>
        <v>-4.8471859933760311E-3</v>
      </c>
    </row>
    <row r="1390" spans="1:5">
      <c r="A1390" s="30">
        <v>43655</v>
      </c>
      <c r="B1390" s="28">
        <v>48.619903999999998</v>
      </c>
      <c r="C1390" s="28">
        <f t="shared" si="30"/>
        <v>6.0811136348487126E-3</v>
      </c>
      <c r="D1390" s="31">
        <v>2979.63</v>
      </c>
      <c r="E1390" s="28">
        <f t="shared" si="30"/>
        <v>1.2358159804265049E-3</v>
      </c>
    </row>
    <row r="1391" spans="1:5">
      <c r="A1391" s="30">
        <v>43656</v>
      </c>
      <c r="B1391" s="28">
        <v>49.100684999999999</v>
      </c>
      <c r="C1391" s="28">
        <f t="shared" si="30"/>
        <v>9.8399914333860521E-3</v>
      </c>
      <c r="D1391" s="31">
        <v>2993.07</v>
      </c>
      <c r="E1391" s="28">
        <f t="shared" si="30"/>
        <v>4.5004847673177414E-3</v>
      </c>
    </row>
    <row r="1392" spans="1:5">
      <c r="A1392" s="30">
        <v>43657</v>
      </c>
      <c r="B1392" s="28">
        <v>48.743118000000003</v>
      </c>
      <c r="C1392" s="28">
        <f t="shared" si="30"/>
        <v>-7.308967575548565E-3</v>
      </c>
      <c r="D1392" s="31">
        <v>2999.91</v>
      </c>
      <c r="E1392" s="28">
        <f t="shared" si="30"/>
        <v>2.2826717159195975E-3</v>
      </c>
    </row>
    <row r="1393" spans="1:5">
      <c r="A1393" s="30">
        <v>43658</v>
      </c>
      <c r="B1393" s="28">
        <v>49.117592000000002</v>
      </c>
      <c r="C1393" s="28">
        <f t="shared" si="30"/>
        <v>7.6532415881540375E-3</v>
      </c>
      <c r="D1393" s="31">
        <v>3013.77</v>
      </c>
      <c r="E1393" s="28">
        <f t="shared" si="30"/>
        <v>4.6094985236418001E-3</v>
      </c>
    </row>
    <row r="1394" spans="1:5">
      <c r="A1394" s="30">
        <v>43661</v>
      </c>
      <c r="B1394" s="28">
        <v>49.579056000000001</v>
      </c>
      <c r="C1394" s="28">
        <f t="shared" si="30"/>
        <v>9.3512266543974067E-3</v>
      </c>
      <c r="D1394" s="31">
        <v>3014.3</v>
      </c>
      <c r="E1394" s="28">
        <f t="shared" si="30"/>
        <v>1.7584401022740885E-4</v>
      </c>
    </row>
    <row r="1395" spans="1:5">
      <c r="A1395" s="30">
        <v>43662</v>
      </c>
      <c r="B1395" s="28">
        <v>49.407513000000002</v>
      </c>
      <c r="C1395" s="28">
        <f t="shared" si="30"/>
        <v>-3.4659888399592169E-3</v>
      </c>
      <c r="D1395" s="31">
        <v>3004.04</v>
      </c>
      <c r="E1395" s="28">
        <f t="shared" si="30"/>
        <v>-3.4095813595054242E-3</v>
      </c>
    </row>
    <row r="1396" spans="1:5">
      <c r="A1396" s="30">
        <v>43663</v>
      </c>
      <c r="B1396" s="28">
        <v>49.129669</v>
      </c>
      <c r="C1396" s="28">
        <f t="shared" si="30"/>
        <v>-5.6393887202669524E-3</v>
      </c>
      <c r="D1396" s="31">
        <v>2984.42</v>
      </c>
      <c r="E1396" s="28">
        <f t="shared" si="30"/>
        <v>-6.5526262851549463E-3</v>
      </c>
    </row>
    <row r="1397" spans="1:5">
      <c r="A1397" s="30">
        <v>43664</v>
      </c>
      <c r="B1397" s="28">
        <v>49.687775000000002</v>
      </c>
      <c r="C1397" s="28">
        <f t="shared" si="30"/>
        <v>1.1295818060331331E-2</v>
      </c>
      <c r="D1397" s="31">
        <v>2995.11</v>
      </c>
      <c r="E1397" s="28">
        <f t="shared" si="30"/>
        <v>3.5755356654507981E-3</v>
      </c>
    </row>
    <row r="1398" spans="1:5">
      <c r="A1398" s="30">
        <v>43665</v>
      </c>
      <c r="B1398" s="28">
        <v>48.946064</v>
      </c>
      <c r="C1398" s="28">
        <f t="shared" si="30"/>
        <v>-1.5039969827037546E-2</v>
      </c>
      <c r="D1398" s="31">
        <v>2976.61</v>
      </c>
      <c r="E1398" s="28">
        <f t="shared" si="30"/>
        <v>-6.1958896877547841E-3</v>
      </c>
    </row>
    <row r="1399" spans="1:5">
      <c r="A1399" s="30">
        <v>43668</v>
      </c>
      <c r="B1399" s="28">
        <v>50.064673999999997</v>
      </c>
      <c r="C1399" s="28">
        <f t="shared" si="30"/>
        <v>2.2596692440168979E-2</v>
      </c>
      <c r="D1399" s="31">
        <v>2985.03</v>
      </c>
      <c r="E1399" s="28">
        <f t="shared" si="30"/>
        <v>2.8247279603128136E-3</v>
      </c>
    </row>
    <row r="1400" spans="1:5">
      <c r="A1400" s="30">
        <v>43669</v>
      </c>
      <c r="B1400" s="28">
        <v>50.456066</v>
      </c>
      <c r="C1400" s="28">
        <f t="shared" si="30"/>
        <v>7.7873278273312054E-3</v>
      </c>
      <c r="D1400" s="31">
        <v>3005.47</v>
      </c>
      <c r="E1400" s="28">
        <f t="shared" si="30"/>
        <v>6.8241647017276323E-3</v>
      </c>
    </row>
    <row r="1401" spans="1:5">
      <c r="A1401" s="30">
        <v>43670</v>
      </c>
      <c r="B1401" s="28">
        <v>50.414997</v>
      </c>
      <c r="C1401" s="28">
        <f t="shared" si="30"/>
        <v>-8.1428709181497361E-4</v>
      </c>
      <c r="D1401" s="31">
        <v>3019.56</v>
      </c>
      <c r="E1401" s="28">
        <f t="shared" si="30"/>
        <v>4.6771636608934396E-3</v>
      </c>
    </row>
    <row r="1402" spans="1:5">
      <c r="A1402" s="30">
        <v>43671</v>
      </c>
      <c r="B1402" s="28">
        <v>50.016350000000003</v>
      </c>
      <c r="C1402" s="28">
        <f t="shared" si="30"/>
        <v>-7.9387383637789573E-3</v>
      </c>
      <c r="D1402" s="31">
        <v>3003.67</v>
      </c>
      <c r="E1402" s="28">
        <f t="shared" si="30"/>
        <v>-5.276251069020221E-3</v>
      </c>
    </row>
    <row r="1403" spans="1:5">
      <c r="A1403" s="30">
        <v>43672</v>
      </c>
      <c r="B1403" s="28">
        <v>50.190311000000001</v>
      </c>
      <c r="C1403" s="28">
        <f t="shared" si="30"/>
        <v>3.4720481258225899E-3</v>
      </c>
      <c r="D1403" s="31">
        <v>3025.86</v>
      </c>
      <c r="E1403" s="28">
        <f t="shared" si="30"/>
        <v>7.3604742596646913E-3</v>
      </c>
    </row>
    <row r="1404" spans="1:5">
      <c r="A1404" s="30">
        <v>43675</v>
      </c>
      <c r="B1404" s="28">
        <v>50.659008</v>
      </c>
      <c r="C1404" s="28">
        <f t="shared" si="30"/>
        <v>9.2950627568027019E-3</v>
      </c>
      <c r="D1404" s="31">
        <v>3020.97</v>
      </c>
      <c r="E1404" s="28">
        <f t="shared" si="30"/>
        <v>-1.6173767299502979E-3</v>
      </c>
    </row>
    <row r="1405" spans="1:5">
      <c r="A1405" s="30">
        <v>43676</v>
      </c>
      <c r="B1405" s="28">
        <v>50.441569999999999</v>
      </c>
      <c r="C1405" s="28">
        <f t="shared" si="30"/>
        <v>-4.3014261552073579E-3</v>
      </c>
      <c r="D1405" s="31">
        <v>3013.18</v>
      </c>
      <c r="E1405" s="28">
        <f t="shared" si="30"/>
        <v>-2.5819723830935032E-3</v>
      </c>
    </row>
    <row r="1406" spans="1:5">
      <c r="A1406" s="30">
        <v>43677</v>
      </c>
      <c r="B1406" s="28">
        <v>51.470795000000003</v>
      </c>
      <c r="C1406" s="28">
        <f t="shared" si="30"/>
        <v>2.0198922733470358E-2</v>
      </c>
      <c r="D1406" s="31">
        <v>2980.38</v>
      </c>
      <c r="E1406" s="28">
        <f t="shared" si="30"/>
        <v>-1.0945190319276599E-2</v>
      </c>
    </row>
    <row r="1407" spans="1:5">
      <c r="A1407" s="30">
        <v>43678</v>
      </c>
      <c r="B1407" s="28">
        <v>50.357013999999999</v>
      </c>
      <c r="C1407" s="28">
        <f t="shared" si="30"/>
        <v>-2.1876645107698992E-2</v>
      </c>
      <c r="D1407" s="31">
        <v>2953.56</v>
      </c>
      <c r="E1407" s="28">
        <f t="shared" si="30"/>
        <v>-9.0395867268047228E-3</v>
      </c>
    </row>
    <row r="1408" spans="1:5">
      <c r="A1408" s="30">
        <v>43679</v>
      </c>
      <c r="B1408" s="28">
        <v>49.291561000000002</v>
      </c>
      <c r="C1408" s="28">
        <f t="shared" si="30"/>
        <v>-2.1385024402795837E-2</v>
      </c>
      <c r="D1408" s="31">
        <v>2932.05</v>
      </c>
      <c r="E1408" s="28">
        <f t="shared" si="30"/>
        <v>-7.3093853544549392E-3</v>
      </c>
    </row>
    <row r="1409" spans="1:5">
      <c r="A1409" s="30">
        <v>43682</v>
      </c>
      <c r="B1409" s="28">
        <v>46.711246000000003</v>
      </c>
      <c r="C1409" s="28">
        <f t="shared" si="30"/>
        <v>-5.3767940537309544E-2</v>
      </c>
      <c r="D1409" s="31">
        <v>2844.74</v>
      </c>
      <c r="E1409" s="28">
        <f t="shared" si="30"/>
        <v>-3.0230162083586681E-2</v>
      </c>
    </row>
    <row r="1410" spans="1:5">
      <c r="A1410" s="30">
        <v>43683</v>
      </c>
      <c r="B1410" s="28">
        <v>47.595509</v>
      </c>
      <c r="C1410" s="28">
        <f t="shared" si="30"/>
        <v>1.8753458658373651E-2</v>
      </c>
      <c r="D1410" s="31">
        <v>2881.77</v>
      </c>
      <c r="E1410" s="28">
        <f t="shared" si="30"/>
        <v>1.2933013700777157E-2</v>
      </c>
    </row>
    <row r="1411" spans="1:5">
      <c r="A1411" s="30">
        <v>43684</v>
      </c>
      <c r="B1411" s="28">
        <v>48.088366999999998</v>
      </c>
      <c r="C1411" s="28">
        <f t="shared" si="30"/>
        <v>1.0301889502605899E-2</v>
      </c>
      <c r="D1411" s="31">
        <v>2883.98</v>
      </c>
      <c r="E1411" s="28">
        <f t="shared" si="30"/>
        <v>7.6659588370266651E-4</v>
      </c>
    </row>
    <row r="1412" spans="1:5">
      <c r="A1412" s="30">
        <v>43685</v>
      </c>
      <c r="B1412" s="28">
        <v>49.149006</v>
      </c>
      <c r="C1412" s="28">
        <f t="shared" si="30"/>
        <v>2.18163250346298E-2</v>
      </c>
      <c r="D1412" s="31">
        <v>2938.09</v>
      </c>
      <c r="E1412" s="28">
        <f t="shared" si="30"/>
        <v>1.8588425780336086E-2</v>
      </c>
    </row>
    <row r="1413" spans="1:5">
      <c r="A1413" s="30">
        <v>43686</v>
      </c>
      <c r="B1413" s="28">
        <v>48.743999000000002</v>
      </c>
      <c r="C1413" s="28">
        <f t="shared" ref="C1413:E1476" si="31">LN(B1413/B1412)</f>
        <v>-8.2745301531444455E-3</v>
      </c>
      <c r="D1413" s="31">
        <v>2918.65</v>
      </c>
      <c r="E1413" s="28">
        <f t="shared" si="31"/>
        <v>-6.6385297600620738E-3</v>
      </c>
    </row>
    <row r="1414" spans="1:5">
      <c r="A1414" s="30">
        <v>43689</v>
      </c>
      <c r="B1414" s="28">
        <v>48.620308000000001</v>
      </c>
      <c r="C1414" s="28">
        <f t="shared" si="31"/>
        <v>-2.5407887213063302E-3</v>
      </c>
      <c r="D1414" s="31">
        <v>2882.7</v>
      </c>
      <c r="E1414" s="28">
        <f t="shared" si="31"/>
        <v>-1.2393825636975902E-2</v>
      </c>
    </row>
    <row r="1415" spans="1:5">
      <c r="A1415" s="30">
        <v>43690</v>
      </c>
      <c r="B1415" s="28">
        <v>50.679298000000003</v>
      </c>
      <c r="C1415" s="28">
        <f t="shared" si="31"/>
        <v>4.1476200029467225E-2</v>
      </c>
      <c r="D1415" s="31">
        <v>2926.32</v>
      </c>
      <c r="E1415" s="28">
        <f t="shared" si="31"/>
        <v>1.5018305968787296E-2</v>
      </c>
    </row>
    <row r="1416" spans="1:5">
      <c r="A1416" s="30">
        <v>43691</v>
      </c>
      <c r="B1416" s="28">
        <v>49.170822000000001</v>
      </c>
      <c r="C1416" s="28">
        <f t="shared" si="31"/>
        <v>-3.0217104944219253E-2</v>
      </c>
      <c r="D1416" s="31">
        <v>2840.6</v>
      </c>
      <c r="E1416" s="28">
        <f t="shared" si="31"/>
        <v>-2.9730363473091367E-2</v>
      </c>
    </row>
    <row r="1417" spans="1:5">
      <c r="A1417" s="30">
        <v>43692</v>
      </c>
      <c r="B1417" s="28">
        <v>48.925888</v>
      </c>
      <c r="C1417" s="28">
        <f t="shared" si="31"/>
        <v>-4.9937354474189856E-3</v>
      </c>
      <c r="D1417" s="31">
        <v>2847.6</v>
      </c>
      <c r="E1417" s="28">
        <f t="shared" si="31"/>
        <v>2.461236782690441E-3</v>
      </c>
    </row>
    <row r="1418" spans="1:5">
      <c r="A1418" s="30">
        <v>43693</v>
      </c>
      <c r="B1418" s="28">
        <v>50.080283999999999</v>
      </c>
      <c r="C1418" s="28">
        <f t="shared" si="31"/>
        <v>2.3320734354910777E-2</v>
      </c>
      <c r="D1418" s="31">
        <v>2888.68</v>
      </c>
      <c r="E1418" s="28">
        <f t="shared" si="31"/>
        <v>1.4323116131046663E-2</v>
      </c>
    </row>
    <row r="1419" spans="1:5">
      <c r="A1419" s="30">
        <v>43696</v>
      </c>
      <c r="B1419" s="28">
        <v>51.013973</v>
      </c>
      <c r="C1419" s="28">
        <f t="shared" si="31"/>
        <v>1.8472177888428094E-2</v>
      </c>
      <c r="D1419" s="31">
        <v>2923.65</v>
      </c>
      <c r="E1419" s="28">
        <f t="shared" si="31"/>
        <v>1.2033185301994735E-2</v>
      </c>
    </row>
    <row r="1420" spans="1:5">
      <c r="A1420" s="30">
        <v>43697</v>
      </c>
      <c r="B1420" s="28">
        <v>51.016399</v>
      </c>
      <c r="C1420" s="28">
        <f t="shared" si="31"/>
        <v>4.7554467418008438E-5</v>
      </c>
      <c r="D1420" s="31">
        <v>2900.51</v>
      </c>
      <c r="E1420" s="28">
        <f t="shared" si="31"/>
        <v>-7.9462520811493E-3</v>
      </c>
    </row>
    <row r="1421" spans="1:5">
      <c r="A1421" s="30">
        <v>43698</v>
      </c>
      <c r="B1421" s="28">
        <v>51.569350999999997</v>
      </c>
      <c r="C1421" s="28">
        <f t="shared" si="31"/>
        <v>1.0780393089405739E-2</v>
      </c>
      <c r="D1421" s="31">
        <v>2924.43</v>
      </c>
      <c r="E1421" s="28">
        <f t="shared" si="31"/>
        <v>8.2130062994995642E-3</v>
      </c>
    </row>
    <row r="1422" spans="1:5">
      <c r="A1422" s="30">
        <v>43699</v>
      </c>
      <c r="B1422" s="28">
        <v>51.525700000000001</v>
      </c>
      <c r="C1422" s="28">
        <f t="shared" si="31"/>
        <v>-8.4681082525421873E-4</v>
      </c>
      <c r="D1422" s="31">
        <v>2922.95</v>
      </c>
      <c r="E1422" s="28">
        <f t="shared" si="31"/>
        <v>-5.0620962947638712E-4</v>
      </c>
    </row>
    <row r="1423" spans="1:5">
      <c r="A1423" s="30">
        <v>43700</v>
      </c>
      <c r="B1423" s="28">
        <v>49.144157</v>
      </c>
      <c r="C1423" s="28">
        <f t="shared" si="31"/>
        <v>-4.7322753772608681E-2</v>
      </c>
      <c r="D1423" s="31">
        <v>2847.11</v>
      </c>
      <c r="E1423" s="28">
        <f t="shared" si="31"/>
        <v>-2.6288935558066755E-2</v>
      </c>
    </row>
    <row r="1424" spans="1:5">
      <c r="A1424" s="30">
        <v>43703</v>
      </c>
      <c r="B1424" s="28">
        <v>50.077857999999999</v>
      </c>
      <c r="C1424" s="28">
        <f t="shared" si="31"/>
        <v>1.8820995761948477E-2</v>
      </c>
      <c r="D1424" s="31">
        <v>2878.38</v>
      </c>
      <c r="E1424" s="28">
        <f t="shared" si="31"/>
        <v>1.0923191173948981E-2</v>
      </c>
    </row>
    <row r="1425" spans="1:5">
      <c r="A1425" s="30">
        <v>43704</v>
      </c>
      <c r="B1425" s="28">
        <v>49.512779000000002</v>
      </c>
      <c r="C1425" s="28">
        <f t="shared" si="31"/>
        <v>-1.134815643878798E-2</v>
      </c>
      <c r="D1425" s="31">
        <v>2869.16</v>
      </c>
      <c r="E1425" s="28">
        <f t="shared" si="31"/>
        <v>-3.2083318806849889E-3</v>
      </c>
    </row>
    <row r="1426" spans="1:5">
      <c r="A1426" s="30">
        <v>43705</v>
      </c>
      <c r="B1426" s="28">
        <v>49.845036</v>
      </c>
      <c r="C1426" s="28">
        <f t="shared" si="31"/>
        <v>6.6881148405167744E-3</v>
      </c>
      <c r="D1426" s="31">
        <v>2887.94</v>
      </c>
      <c r="E1426" s="28">
        <f t="shared" si="31"/>
        <v>6.52414118680143E-3</v>
      </c>
    </row>
    <row r="1427" spans="1:5">
      <c r="A1427" s="30">
        <v>43706</v>
      </c>
      <c r="B1427" s="28">
        <v>50.688994999999998</v>
      </c>
      <c r="C1427" s="28">
        <f t="shared" si="31"/>
        <v>1.6789913178626336E-2</v>
      </c>
      <c r="D1427" s="31">
        <v>2924.58</v>
      </c>
      <c r="E1427" s="28">
        <f t="shared" si="31"/>
        <v>1.260743543874108E-2</v>
      </c>
    </row>
    <row r="1428" spans="1:5">
      <c r="A1428" s="30">
        <v>43707</v>
      </c>
      <c r="B1428" s="28">
        <v>50.623524000000003</v>
      </c>
      <c r="C1428" s="28">
        <f t="shared" si="31"/>
        <v>-1.2924564458573643E-3</v>
      </c>
      <c r="D1428" s="31">
        <v>2926.46</v>
      </c>
      <c r="E1428" s="28">
        <f t="shared" si="31"/>
        <v>6.4262082115234761E-4</v>
      </c>
    </row>
    <row r="1429" spans="1:5">
      <c r="A1429" s="30">
        <v>43711</v>
      </c>
      <c r="B1429" s="28">
        <v>49.886265000000002</v>
      </c>
      <c r="C1429" s="28">
        <f t="shared" si="31"/>
        <v>-1.4670655078017035E-2</v>
      </c>
      <c r="D1429" s="31">
        <v>2906.27</v>
      </c>
      <c r="E1429" s="28">
        <f t="shared" si="31"/>
        <v>-6.9230294011075758E-3</v>
      </c>
    </row>
    <row r="1430" spans="1:5">
      <c r="A1430" s="30">
        <v>43712</v>
      </c>
      <c r="B1430" s="28">
        <v>50.732655000000001</v>
      </c>
      <c r="C1430" s="28">
        <f t="shared" si="31"/>
        <v>1.6824071736943776E-2</v>
      </c>
      <c r="D1430" s="31">
        <v>2937.78</v>
      </c>
      <c r="E1430" s="28">
        <f t="shared" si="31"/>
        <v>1.0783722026351545E-2</v>
      </c>
    </row>
    <row r="1431" spans="1:5">
      <c r="A1431" s="30">
        <v>43713</v>
      </c>
      <c r="B1431" s="28">
        <v>51.724564000000001</v>
      </c>
      <c r="C1431" s="28">
        <f t="shared" si="31"/>
        <v>1.9363008298191216E-2</v>
      </c>
      <c r="D1431" s="31">
        <v>2976</v>
      </c>
      <c r="E1431" s="28">
        <f t="shared" si="31"/>
        <v>1.2925922894213253E-2</v>
      </c>
    </row>
    <row r="1432" spans="1:5">
      <c r="A1432" s="30">
        <v>43714</v>
      </c>
      <c r="B1432" s="28">
        <v>51.719707</v>
      </c>
      <c r="C1432" s="28">
        <f t="shared" si="31"/>
        <v>-9.3905635500501076E-5</v>
      </c>
      <c r="D1432" s="31">
        <v>2978.71</v>
      </c>
      <c r="E1432" s="28">
        <f t="shared" si="31"/>
        <v>9.1020391827530893E-4</v>
      </c>
    </row>
    <row r="1433" spans="1:5">
      <c r="A1433" s="30">
        <v>43717</v>
      </c>
      <c r="B1433" s="28">
        <v>51.940403000000003</v>
      </c>
      <c r="C1433" s="28">
        <f t="shared" si="31"/>
        <v>4.2580763894059046E-3</v>
      </c>
      <c r="D1433" s="31">
        <v>2978.43</v>
      </c>
      <c r="E1433" s="28">
        <f t="shared" si="31"/>
        <v>-9.4004841318652159E-5</v>
      </c>
    </row>
    <row r="1434" spans="1:5">
      <c r="A1434" s="30">
        <v>43718</v>
      </c>
      <c r="B1434" s="28">
        <v>52.553978000000001</v>
      </c>
      <c r="C1434" s="28">
        <f t="shared" si="31"/>
        <v>1.1743828634738182E-2</v>
      </c>
      <c r="D1434" s="31">
        <v>2979.39</v>
      </c>
      <c r="E1434" s="28">
        <f t="shared" si="31"/>
        <v>3.2226552944139824E-4</v>
      </c>
    </row>
    <row r="1435" spans="1:5">
      <c r="A1435" s="30">
        <v>43719</v>
      </c>
      <c r="B1435" s="28">
        <v>54.224936999999997</v>
      </c>
      <c r="C1435" s="28">
        <f t="shared" si="31"/>
        <v>3.1300101094659201E-2</v>
      </c>
      <c r="D1435" s="31">
        <v>3000.93</v>
      </c>
      <c r="E1435" s="28">
        <f t="shared" si="31"/>
        <v>7.2036590507942328E-3</v>
      </c>
    </row>
    <row r="1436" spans="1:5">
      <c r="A1436" s="30">
        <v>43720</v>
      </c>
      <c r="B1436" s="28">
        <v>54.103672000000003</v>
      </c>
      <c r="C1436" s="28">
        <f t="shared" si="31"/>
        <v>-2.2388370306183846E-3</v>
      </c>
      <c r="D1436" s="31">
        <v>3009.57</v>
      </c>
      <c r="E1436" s="28">
        <f t="shared" si="31"/>
        <v>2.8749707848360149E-3</v>
      </c>
    </row>
    <row r="1437" spans="1:5">
      <c r="A1437" s="30">
        <v>43721</v>
      </c>
      <c r="B1437" s="28">
        <v>53.051144000000001</v>
      </c>
      <c r="C1437" s="28">
        <f t="shared" si="31"/>
        <v>-1.9645628466703948E-2</v>
      </c>
      <c r="D1437" s="31">
        <v>3007.39</v>
      </c>
      <c r="E1437" s="28">
        <f t="shared" si="31"/>
        <v>-7.2461844366199951E-4</v>
      </c>
    </row>
    <row r="1438" spans="1:5">
      <c r="A1438" s="30">
        <v>43724</v>
      </c>
      <c r="B1438" s="28">
        <v>53.330044000000001</v>
      </c>
      <c r="C1438" s="28">
        <f t="shared" si="31"/>
        <v>5.2434202745215795E-3</v>
      </c>
      <c r="D1438" s="31">
        <v>2997.96</v>
      </c>
      <c r="E1438" s="28">
        <f t="shared" si="31"/>
        <v>-3.1405356059661417E-3</v>
      </c>
    </row>
    <row r="1439" spans="1:5">
      <c r="A1439" s="30">
        <v>43725</v>
      </c>
      <c r="B1439" s="28">
        <v>53.524059000000001</v>
      </c>
      <c r="C1439" s="28">
        <f t="shared" si="31"/>
        <v>3.6314040876430607E-3</v>
      </c>
      <c r="D1439" s="31">
        <v>3005.7</v>
      </c>
      <c r="E1439" s="28">
        <f t="shared" si="31"/>
        <v>2.5784285879443072E-3</v>
      </c>
    </row>
    <row r="1440" spans="1:5">
      <c r="A1440" s="30">
        <v>43726</v>
      </c>
      <c r="B1440" s="28">
        <v>54.026066</v>
      </c>
      <c r="C1440" s="28">
        <f t="shared" si="31"/>
        <v>9.3353800526429099E-3</v>
      </c>
      <c r="D1440" s="31">
        <v>3006.73</v>
      </c>
      <c r="E1440" s="28">
        <f t="shared" si="31"/>
        <v>3.4262353493549175E-4</v>
      </c>
    </row>
    <row r="1441" spans="1:5">
      <c r="A1441" s="30">
        <v>43727</v>
      </c>
      <c r="B1441" s="28">
        <v>53.587116000000002</v>
      </c>
      <c r="C1441" s="28">
        <f t="shared" si="31"/>
        <v>-8.1579677558464587E-3</v>
      </c>
      <c r="D1441" s="31">
        <v>3006.79</v>
      </c>
      <c r="E1441" s="28">
        <f t="shared" si="31"/>
        <v>1.9955034655944141E-5</v>
      </c>
    </row>
    <row r="1442" spans="1:5">
      <c r="A1442" s="30">
        <v>43728</v>
      </c>
      <c r="B1442" s="28">
        <v>52.803775999999999</v>
      </c>
      <c r="C1442" s="28">
        <f t="shared" si="31"/>
        <v>-1.4725962741531384E-2</v>
      </c>
      <c r="D1442" s="31">
        <v>2992.07</v>
      </c>
      <c r="E1442" s="28">
        <f t="shared" si="31"/>
        <v>-4.9076089603009186E-3</v>
      </c>
    </row>
    <row r="1443" spans="1:5">
      <c r="A1443" s="30">
        <v>43731</v>
      </c>
      <c r="B1443" s="28">
        <v>53.043861</v>
      </c>
      <c r="C1443" s="28">
        <f t="shared" si="31"/>
        <v>4.5364340392464314E-3</v>
      </c>
      <c r="D1443" s="31">
        <v>2991.78</v>
      </c>
      <c r="E1443" s="28">
        <f t="shared" si="31"/>
        <v>-9.6927563433914354E-5</v>
      </c>
    </row>
    <row r="1444" spans="1:5">
      <c r="A1444" s="30">
        <v>43732</v>
      </c>
      <c r="B1444" s="28">
        <v>52.791645000000003</v>
      </c>
      <c r="C1444" s="28">
        <f t="shared" si="31"/>
        <v>-4.7661977910926443E-3</v>
      </c>
      <c r="D1444" s="31">
        <v>2966.6</v>
      </c>
      <c r="E1444" s="28">
        <f t="shared" si="31"/>
        <v>-8.4520120896715845E-3</v>
      </c>
    </row>
    <row r="1445" spans="1:5">
      <c r="A1445" s="30">
        <v>43733</v>
      </c>
      <c r="B1445" s="28">
        <v>53.604075999999999</v>
      </c>
      <c r="C1445" s="28">
        <f t="shared" si="31"/>
        <v>1.5272170406820034E-2</v>
      </c>
      <c r="D1445" s="31">
        <v>2984.87</v>
      </c>
      <c r="E1445" s="28">
        <f t="shared" si="31"/>
        <v>6.1396789000371316E-3</v>
      </c>
    </row>
    <row r="1446" spans="1:5">
      <c r="A1446" s="30">
        <v>43734</v>
      </c>
      <c r="B1446" s="28">
        <v>53.327621000000001</v>
      </c>
      <c r="C1446" s="28">
        <f t="shared" si="31"/>
        <v>-5.1706953821850704E-3</v>
      </c>
      <c r="D1446" s="31">
        <v>2977.62</v>
      </c>
      <c r="E1446" s="28">
        <f t="shared" si="31"/>
        <v>-2.4318711052058748E-3</v>
      </c>
    </row>
    <row r="1447" spans="1:5">
      <c r="A1447" s="30">
        <v>43735</v>
      </c>
      <c r="B1447" s="28">
        <v>53.068119000000003</v>
      </c>
      <c r="C1447" s="28">
        <f t="shared" si="31"/>
        <v>-4.8780621213073477E-3</v>
      </c>
      <c r="D1447" s="31">
        <v>2961.79</v>
      </c>
      <c r="E1447" s="28">
        <f t="shared" si="31"/>
        <v>-5.3305084118475841E-3</v>
      </c>
    </row>
    <row r="1448" spans="1:5">
      <c r="A1448" s="30">
        <v>43738</v>
      </c>
      <c r="B1448" s="28">
        <v>54.317101000000001</v>
      </c>
      <c r="C1448" s="28">
        <f t="shared" si="31"/>
        <v>2.326276044325342E-2</v>
      </c>
      <c r="D1448" s="31">
        <v>2976.74</v>
      </c>
      <c r="E1448" s="28">
        <f t="shared" si="31"/>
        <v>5.0349266847075358E-3</v>
      </c>
    </row>
    <row r="1449" spans="1:5">
      <c r="A1449" s="30">
        <v>43739</v>
      </c>
      <c r="B1449" s="28">
        <v>54.467449000000002</v>
      </c>
      <c r="C1449" s="28">
        <f t="shared" si="31"/>
        <v>2.7641442783508663E-3</v>
      </c>
      <c r="D1449" s="31">
        <v>2940.25</v>
      </c>
      <c r="E1449" s="28">
        <f t="shared" si="31"/>
        <v>-1.2334130226057026E-2</v>
      </c>
    </row>
    <row r="1450" spans="1:5">
      <c r="A1450" s="30">
        <v>43740</v>
      </c>
      <c r="B1450" s="28">
        <v>53.102074000000002</v>
      </c>
      <c r="C1450" s="28">
        <f t="shared" si="31"/>
        <v>-2.5387271314181423E-2</v>
      </c>
      <c r="D1450" s="31">
        <v>2887.61</v>
      </c>
      <c r="E1450" s="28">
        <f t="shared" si="31"/>
        <v>-1.806544138860686E-2</v>
      </c>
    </row>
    <row r="1451" spans="1:5">
      <c r="A1451" s="30">
        <v>43741</v>
      </c>
      <c r="B1451" s="28">
        <v>53.553158000000003</v>
      </c>
      <c r="C1451" s="28">
        <f t="shared" si="31"/>
        <v>8.4587822118768821E-3</v>
      </c>
      <c r="D1451" s="31">
        <v>2910.63</v>
      </c>
      <c r="E1451" s="28">
        <f t="shared" si="31"/>
        <v>7.9403822367327143E-3</v>
      </c>
    </row>
    <row r="1452" spans="1:5">
      <c r="A1452" s="30">
        <v>43742</v>
      </c>
      <c r="B1452" s="28">
        <v>55.054344</v>
      </c>
      <c r="C1452" s="28">
        <f t="shared" si="31"/>
        <v>2.7646002059770403E-2</v>
      </c>
      <c r="D1452" s="31">
        <v>2952.01</v>
      </c>
      <c r="E1452" s="28">
        <f t="shared" si="31"/>
        <v>1.41167416692291E-2</v>
      </c>
    </row>
    <row r="1453" spans="1:5">
      <c r="A1453" s="30">
        <v>43745</v>
      </c>
      <c r="B1453" s="28">
        <v>55.066479000000001</v>
      </c>
      <c r="C1453" s="28">
        <f t="shared" si="31"/>
        <v>2.2039428545000589E-4</v>
      </c>
      <c r="D1453" s="31">
        <v>2938.79</v>
      </c>
      <c r="E1453" s="28">
        <f t="shared" si="31"/>
        <v>-4.4883622575893614E-3</v>
      </c>
    </row>
    <row r="1454" spans="1:5">
      <c r="A1454" s="30">
        <v>43746</v>
      </c>
      <c r="B1454" s="28">
        <v>54.421379000000002</v>
      </c>
      <c r="C1454" s="28">
        <f t="shared" si="31"/>
        <v>-1.1784091440048472E-2</v>
      </c>
      <c r="D1454" s="31">
        <v>2893.06</v>
      </c>
      <c r="E1454" s="28">
        <f t="shared" si="31"/>
        <v>-1.5683166513284146E-2</v>
      </c>
    </row>
    <row r="1455" spans="1:5">
      <c r="A1455" s="30">
        <v>43747</v>
      </c>
      <c r="B1455" s="28">
        <v>55.059193</v>
      </c>
      <c r="C1455" s="28">
        <f t="shared" si="31"/>
        <v>1.1651769886348787E-2</v>
      </c>
      <c r="D1455" s="31">
        <v>2919.4</v>
      </c>
      <c r="E1455" s="28">
        <f t="shared" si="31"/>
        <v>9.063350218850439E-3</v>
      </c>
    </row>
    <row r="1456" spans="1:5">
      <c r="A1456" s="30">
        <v>43748</v>
      </c>
      <c r="B1456" s="28">
        <v>55.801304000000002</v>
      </c>
      <c r="C1456" s="28">
        <f t="shared" si="31"/>
        <v>1.3388395420891295E-2</v>
      </c>
      <c r="D1456" s="31">
        <v>2938.13</v>
      </c>
      <c r="E1456" s="28">
        <f t="shared" si="31"/>
        <v>6.3952088460510412E-3</v>
      </c>
    </row>
    <row r="1457" spans="1:5">
      <c r="A1457" s="30">
        <v>43749</v>
      </c>
      <c r="B1457" s="28">
        <v>57.285538000000003</v>
      </c>
      <c r="C1457" s="28">
        <f t="shared" si="31"/>
        <v>2.6250962649950138E-2</v>
      </c>
      <c r="D1457" s="31">
        <v>2970.27</v>
      </c>
      <c r="E1457" s="28">
        <f t="shared" si="31"/>
        <v>1.0879533213144676E-2</v>
      </c>
    </row>
    <row r="1458" spans="1:5">
      <c r="A1458" s="30">
        <v>43752</v>
      </c>
      <c r="B1458" s="28">
        <v>57.203074999999998</v>
      </c>
      <c r="C1458" s="28">
        <f t="shared" si="31"/>
        <v>-1.4405452577263031E-3</v>
      </c>
      <c r="D1458" s="31">
        <v>2966.15</v>
      </c>
      <c r="E1458" s="28">
        <f t="shared" si="31"/>
        <v>-1.3880421740668583E-3</v>
      </c>
    </row>
    <row r="1459" spans="1:5">
      <c r="A1459" s="30">
        <v>43753</v>
      </c>
      <c r="B1459" s="28">
        <v>57.069701999999999</v>
      </c>
      <c r="C1459" s="28">
        <f t="shared" si="31"/>
        <v>-2.3342928046912121E-3</v>
      </c>
      <c r="D1459" s="31">
        <v>2995.68</v>
      </c>
      <c r="E1459" s="28">
        <f t="shared" si="31"/>
        <v>9.906435272235942E-3</v>
      </c>
    </row>
    <row r="1460" spans="1:5">
      <c r="A1460" s="30">
        <v>43754</v>
      </c>
      <c r="B1460" s="28">
        <v>56.839286999999999</v>
      </c>
      <c r="C1460" s="28">
        <f t="shared" si="31"/>
        <v>-4.0456037102574033E-3</v>
      </c>
      <c r="D1460" s="31">
        <v>2989.69</v>
      </c>
      <c r="E1460" s="28">
        <f t="shared" si="31"/>
        <v>-2.0015477739079852E-3</v>
      </c>
    </row>
    <row r="1461" spans="1:5">
      <c r="A1461" s="30">
        <v>43755</v>
      </c>
      <c r="B1461" s="28">
        <v>57.059986000000002</v>
      </c>
      <c r="C1461" s="28">
        <f t="shared" si="31"/>
        <v>3.8753412624449725E-3</v>
      </c>
      <c r="D1461" s="31">
        <v>2997.95</v>
      </c>
      <c r="E1461" s="28">
        <f t="shared" si="31"/>
        <v>2.759018658342625E-3</v>
      </c>
    </row>
    <row r="1462" spans="1:5">
      <c r="A1462" s="30">
        <v>43756</v>
      </c>
      <c r="B1462" s="28">
        <v>57.334041999999997</v>
      </c>
      <c r="C1462" s="28">
        <f t="shared" si="31"/>
        <v>4.7914481045116582E-3</v>
      </c>
      <c r="D1462" s="31">
        <v>2986.2</v>
      </c>
      <c r="E1462" s="28">
        <f t="shared" si="31"/>
        <v>-3.927045645713622E-3</v>
      </c>
    </row>
    <row r="1463" spans="1:5">
      <c r="A1463" s="30">
        <v>43759</v>
      </c>
      <c r="B1463" s="28">
        <v>58.328361999999998</v>
      </c>
      <c r="C1463" s="28">
        <f t="shared" si="31"/>
        <v>1.7193910232517904E-2</v>
      </c>
      <c r="D1463" s="31">
        <v>3006.72</v>
      </c>
      <c r="E1463" s="28">
        <f t="shared" si="31"/>
        <v>6.8481074978751595E-3</v>
      </c>
    </row>
    <row r="1464" spans="1:5">
      <c r="A1464" s="30">
        <v>43760</v>
      </c>
      <c r="B1464" s="28">
        <v>58.194983999999998</v>
      </c>
      <c r="C1464" s="28">
        <f t="shared" si="31"/>
        <v>-2.2892933103950994E-3</v>
      </c>
      <c r="D1464" s="31">
        <v>2995.99</v>
      </c>
      <c r="E1464" s="28">
        <f t="shared" si="31"/>
        <v>-3.5750557426104746E-3</v>
      </c>
    </row>
    <row r="1465" spans="1:5">
      <c r="A1465" s="30">
        <v>43761</v>
      </c>
      <c r="B1465" s="28">
        <v>58.975890999999997</v>
      </c>
      <c r="C1465" s="28">
        <f t="shared" si="31"/>
        <v>1.3329567820071359E-2</v>
      </c>
      <c r="D1465" s="31">
        <v>3004.52</v>
      </c>
      <c r="E1465" s="28">
        <f t="shared" si="31"/>
        <v>2.8430935856431803E-3</v>
      </c>
    </row>
    <row r="1466" spans="1:5">
      <c r="A1466" s="30">
        <v>43762</v>
      </c>
      <c r="B1466" s="28">
        <v>59.072902999999997</v>
      </c>
      <c r="C1466" s="28">
        <f t="shared" si="31"/>
        <v>1.6435919174061951E-3</v>
      </c>
      <c r="D1466" s="31">
        <v>3010.29</v>
      </c>
      <c r="E1466" s="28">
        <f t="shared" si="31"/>
        <v>1.9185981834693214E-3</v>
      </c>
    </row>
    <row r="1467" spans="1:5">
      <c r="A1467" s="30">
        <v>43763</v>
      </c>
      <c r="B1467" s="28">
        <v>59.800452999999997</v>
      </c>
      <c r="C1467" s="28">
        <f t="shared" si="31"/>
        <v>1.2240910985060284E-2</v>
      </c>
      <c r="D1467" s="31">
        <v>3022.55</v>
      </c>
      <c r="E1467" s="28">
        <f t="shared" si="31"/>
        <v>4.0644263323678705E-3</v>
      </c>
    </row>
    <row r="1468" spans="1:5">
      <c r="A1468" s="30">
        <v>43766</v>
      </c>
      <c r="B1468" s="28">
        <v>60.399487000000001</v>
      </c>
      <c r="C1468" s="28">
        <f t="shared" si="31"/>
        <v>9.96737534848691E-3</v>
      </c>
      <c r="D1468" s="31">
        <v>3039.42</v>
      </c>
      <c r="E1468" s="28">
        <f t="shared" si="31"/>
        <v>5.5658617746479786E-3</v>
      </c>
    </row>
    <row r="1469" spans="1:5">
      <c r="A1469" s="30">
        <v>43767</v>
      </c>
      <c r="B1469" s="28">
        <v>59.002571000000003</v>
      </c>
      <c r="C1469" s="28">
        <f t="shared" si="31"/>
        <v>-2.3399592299729089E-2</v>
      </c>
      <c r="D1469" s="31">
        <v>3036.89</v>
      </c>
      <c r="E1469" s="28">
        <f t="shared" si="31"/>
        <v>-8.3274228806782234E-4</v>
      </c>
    </row>
    <row r="1470" spans="1:5">
      <c r="A1470" s="30">
        <v>43768</v>
      </c>
      <c r="B1470" s="28">
        <v>58.995296000000003</v>
      </c>
      <c r="C1470" s="28">
        <f t="shared" si="31"/>
        <v>-1.2330731383849446E-4</v>
      </c>
      <c r="D1470" s="31">
        <v>3046.77</v>
      </c>
      <c r="E1470" s="28">
        <f t="shared" si="31"/>
        <v>3.2480476180495634E-3</v>
      </c>
    </row>
    <row r="1471" spans="1:5">
      <c r="A1471" s="30">
        <v>43769</v>
      </c>
      <c r="B1471" s="28">
        <v>60.329158999999997</v>
      </c>
      <c r="C1471" s="28">
        <f t="shared" si="31"/>
        <v>2.2357840445173312E-2</v>
      </c>
      <c r="D1471" s="31">
        <v>3037.56</v>
      </c>
      <c r="E1471" s="28">
        <f t="shared" si="31"/>
        <v>-3.0274515138039699E-3</v>
      </c>
    </row>
    <row r="1472" spans="1:5">
      <c r="A1472" s="30">
        <v>43770</v>
      </c>
      <c r="B1472" s="28">
        <v>62.041344000000002</v>
      </c>
      <c r="C1472" s="28">
        <f t="shared" si="31"/>
        <v>2.7985449157806392E-2</v>
      </c>
      <c r="D1472" s="31">
        <v>3066.91</v>
      </c>
      <c r="E1472" s="28">
        <f t="shared" si="31"/>
        <v>9.615978507102713E-3</v>
      </c>
    </row>
    <row r="1473" spans="1:5">
      <c r="A1473" s="30">
        <v>43773</v>
      </c>
      <c r="B1473" s="28">
        <v>62.448784000000003</v>
      </c>
      <c r="C1473" s="28">
        <f t="shared" si="31"/>
        <v>6.5457632881221733E-3</v>
      </c>
      <c r="D1473" s="31">
        <v>3078.27</v>
      </c>
      <c r="E1473" s="28">
        <f t="shared" si="31"/>
        <v>3.6972108027207482E-3</v>
      </c>
    </row>
    <row r="1474" spans="1:5">
      <c r="A1474" s="30">
        <v>43774</v>
      </c>
      <c r="B1474" s="28">
        <v>62.359046999999997</v>
      </c>
      <c r="C1474" s="28">
        <f t="shared" si="31"/>
        <v>-1.4380029641501901E-3</v>
      </c>
      <c r="D1474" s="31">
        <v>3074.62</v>
      </c>
      <c r="E1474" s="28">
        <f t="shared" si="31"/>
        <v>-1.1864344814073249E-3</v>
      </c>
    </row>
    <row r="1475" spans="1:5">
      <c r="A1475" s="30">
        <v>43775</v>
      </c>
      <c r="B1475" s="28">
        <v>62.385711999999998</v>
      </c>
      <c r="C1475" s="28">
        <f t="shared" si="31"/>
        <v>4.2751295717556218E-4</v>
      </c>
      <c r="D1475" s="31">
        <v>3076.78</v>
      </c>
      <c r="E1475" s="28">
        <f t="shared" si="31"/>
        <v>7.0227918482797182E-4</v>
      </c>
    </row>
    <row r="1476" spans="1:5">
      <c r="A1476" s="30">
        <v>43776</v>
      </c>
      <c r="B1476" s="28">
        <v>63.105727999999999</v>
      </c>
      <c r="C1476" s="28">
        <f t="shared" si="31"/>
        <v>1.1475267174615885E-2</v>
      </c>
      <c r="D1476" s="31">
        <v>3085.18</v>
      </c>
      <c r="E1476" s="28">
        <f t="shared" si="31"/>
        <v>2.7264069235454487E-3</v>
      </c>
    </row>
    <row r="1477" spans="1:5">
      <c r="A1477" s="30">
        <v>43777</v>
      </c>
      <c r="B1477" s="28">
        <v>63.278441999999998</v>
      </c>
      <c r="C1477" s="28">
        <f t="shared" ref="C1477:E1540" si="32">LN(B1477/B1476)</f>
        <v>2.7331604506616231E-3</v>
      </c>
      <c r="D1477" s="31">
        <v>3093.08</v>
      </c>
      <c r="E1477" s="28">
        <f t="shared" si="32"/>
        <v>2.5573557297830268E-3</v>
      </c>
    </row>
    <row r="1478" spans="1:5">
      <c r="A1478" s="30">
        <v>43780</v>
      </c>
      <c r="B1478" s="28">
        <v>63.779522</v>
      </c>
      <c r="C1478" s="28">
        <f t="shared" si="32"/>
        <v>7.8874646183870519E-3</v>
      </c>
      <c r="D1478" s="31">
        <v>3087.01</v>
      </c>
      <c r="E1478" s="28">
        <f t="shared" si="32"/>
        <v>-1.9643733187996349E-3</v>
      </c>
    </row>
    <row r="1479" spans="1:5">
      <c r="A1479" s="30">
        <v>43781</v>
      </c>
      <c r="B1479" s="28">
        <v>63.721164999999999</v>
      </c>
      <c r="C1479" s="28">
        <f t="shared" si="32"/>
        <v>-9.1539905310543629E-4</v>
      </c>
      <c r="D1479" s="31">
        <v>3091.84</v>
      </c>
      <c r="E1479" s="28">
        <f t="shared" si="32"/>
        <v>1.5633980380800601E-3</v>
      </c>
    </row>
    <row r="1480" spans="1:5">
      <c r="A1480" s="30">
        <v>43782</v>
      </c>
      <c r="B1480" s="28">
        <v>64.331672999999995</v>
      </c>
      <c r="C1480" s="28">
        <f t="shared" si="32"/>
        <v>9.5353236252450242E-3</v>
      </c>
      <c r="D1480" s="31">
        <v>3094.04</v>
      </c>
      <c r="E1480" s="28">
        <f t="shared" si="32"/>
        <v>7.1129737167743444E-4</v>
      </c>
    </row>
    <row r="1481" spans="1:5">
      <c r="A1481" s="30">
        <v>43783</v>
      </c>
      <c r="B1481" s="28">
        <v>63.886555000000001</v>
      </c>
      <c r="C1481" s="28">
        <f t="shared" si="32"/>
        <v>-6.943159254484829E-3</v>
      </c>
      <c r="D1481" s="31">
        <v>3096.63</v>
      </c>
      <c r="E1481" s="28">
        <f t="shared" si="32"/>
        <v>8.3674308309544126E-4</v>
      </c>
    </row>
    <row r="1482" spans="1:5">
      <c r="A1482" s="30">
        <v>43784</v>
      </c>
      <c r="B1482" s="28">
        <v>64.645493000000002</v>
      </c>
      <c r="C1482" s="28">
        <f t="shared" si="32"/>
        <v>1.1809456584873531E-2</v>
      </c>
      <c r="D1482" s="31">
        <v>3120.46</v>
      </c>
      <c r="E1482" s="28">
        <f t="shared" si="32"/>
        <v>7.666003452600061E-3</v>
      </c>
    </row>
    <row r="1483" spans="1:5">
      <c r="A1483" s="30">
        <v>43787</v>
      </c>
      <c r="B1483" s="28">
        <v>64.971442999999994</v>
      </c>
      <c r="C1483" s="28">
        <f t="shared" si="32"/>
        <v>5.0294459527111318E-3</v>
      </c>
      <c r="D1483" s="31">
        <v>3122.03</v>
      </c>
      <c r="E1483" s="28">
        <f t="shared" si="32"/>
        <v>5.0300442070485511E-4</v>
      </c>
    </row>
    <row r="1484" spans="1:5">
      <c r="A1484" s="30">
        <v>43788</v>
      </c>
      <c r="B1484" s="28">
        <v>64.774405999999999</v>
      </c>
      <c r="C1484" s="28">
        <f t="shared" si="32"/>
        <v>-3.0372786951077435E-3</v>
      </c>
      <c r="D1484" s="31">
        <v>3120.18</v>
      </c>
      <c r="E1484" s="28">
        <f t="shared" si="32"/>
        <v>-5.9273880698187292E-4</v>
      </c>
    </row>
    <row r="1485" spans="1:5">
      <c r="A1485" s="30">
        <v>43789</v>
      </c>
      <c r="B1485" s="28">
        <v>64.020340000000004</v>
      </c>
      <c r="C1485" s="28">
        <f t="shared" si="32"/>
        <v>-1.170971083359581E-2</v>
      </c>
      <c r="D1485" s="31">
        <v>3108.46</v>
      </c>
      <c r="E1485" s="28">
        <f t="shared" si="32"/>
        <v>-3.7632657632212341E-3</v>
      </c>
    </row>
    <row r="1486" spans="1:5">
      <c r="A1486" s="30">
        <v>43790</v>
      </c>
      <c r="B1486" s="28">
        <v>63.733314999999997</v>
      </c>
      <c r="C1486" s="28">
        <f t="shared" si="32"/>
        <v>-4.493421075730899E-3</v>
      </c>
      <c r="D1486" s="31">
        <v>3103.54</v>
      </c>
      <c r="E1486" s="28">
        <f t="shared" si="32"/>
        <v>-1.5840312391350534E-3</v>
      </c>
    </row>
    <row r="1487" spans="1:5">
      <c r="A1487" s="30">
        <v>43791</v>
      </c>
      <c r="B1487" s="28">
        <v>63.677357000000001</v>
      </c>
      <c r="C1487" s="28">
        <f t="shared" si="32"/>
        <v>-8.7838801443465184E-4</v>
      </c>
      <c r="D1487" s="31">
        <v>3110.29</v>
      </c>
      <c r="E1487" s="28">
        <f t="shared" si="32"/>
        <v>2.172573969691297E-3</v>
      </c>
    </row>
    <row r="1488" spans="1:5">
      <c r="A1488" s="30">
        <v>43794</v>
      </c>
      <c r="B1488" s="28">
        <v>64.793861000000007</v>
      </c>
      <c r="C1488" s="28">
        <f t="shared" si="32"/>
        <v>1.7381824938201666E-2</v>
      </c>
      <c r="D1488" s="31">
        <v>3133.64</v>
      </c>
      <c r="E1488" s="28">
        <f t="shared" si="32"/>
        <v>7.4792987268079824E-3</v>
      </c>
    </row>
    <row r="1489" spans="1:5">
      <c r="A1489" s="30">
        <v>43795</v>
      </c>
      <c r="B1489" s="28">
        <v>64.287932999999995</v>
      </c>
      <c r="C1489" s="28">
        <f t="shared" si="32"/>
        <v>-7.8389147691990384E-3</v>
      </c>
      <c r="D1489" s="31">
        <v>3140.52</v>
      </c>
      <c r="E1489" s="28">
        <f t="shared" si="32"/>
        <v>2.1931231456042352E-3</v>
      </c>
    </row>
    <row r="1490" spans="1:5">
      <c r="A1490" s="30">
        <v>43796</v>
      </c>
      <c r="B1490" s="28">
        <v>65.151436000000004</v>
      </c>
      <c r="C1490" s="28">
        <f t="shared" si="32"/>
        <v>1.3342398323955475E-2</v>
      </c>
      <c r="D1490" s="31">
        <v>3153.63</v>
      </c>
      <c r="E1490" s="28">
        <f t="shared" si="32"/>
        <v>4.1657790039729458E-3</v>
      </c>
    </row>
    <row r="1491" spans="1:5">
      <c r="A1491" s="30">
        <v>43798</v>
      </c>
      <c r="B1491" s="28">
        <v>65.007935000000003</v>
      </c>
      <c r="C1491" s="28">
        <f t="shared" si="32"/>
        <v>-2.2050054028365101E-3</v>
      </c>
      <c r="D1491" s="31">
        <v>3140.98</v>
      </c>
      <c r="E1491" s="28">
        <f t="shared" si="32"/>
        <v>-4.0193171713462017E-3</v>
      </c>
    </row>
    <row r="1492" spans="1:5">
      <c r="A1492" s="30">
        <v>43801</v>
      </c>
      <c r="B1492" s="28">
        <v>64.256293999999997</v>
      </c>
      <c r="C1492" s="28">
        <f t="shared" si="32"/>
        <v>-1.162965930098374E-2</v>
      </c>
      <c r="D1492" s="31">
        <v>3113.87</v>
      </c>
      <c r="E1492" s="28">
        <f t="shared" si="32"/>
        <v>-8.6685275462029671E-3</v>
      </c>
    </row>
    <row r="1493" spans="1:5">
      <c r="A1493" s="30">
        <v>43802</v>
      </c>
      <c r="B1493" s="28">
        <v>63.110599999999998</v>
      </c>
      <c r="C1493" s="28">
        <f t="shared" si="32"/>
        <v>-1.7990937306360283E-2</v>
      </c>
      <c r="D1493" s="31">
        <v>3093.2</v>
      </c>
      <c r="E1493" s="28">
        <f t="shared" si="32"/>
        <v>-6.6601718383736989E-3</v>
      </c>
    </row>
    <row r="1494" spans="1:5">
      <c r="A1494" s="30">
        <v>43803</v>
      </c>
      <c r="B1494" s="28">
        <v>63.667614</v>
      </c>
      <c r="C1494" s="28">
        <f t="shared" si="32"/>
        <v>8.7872760883832626E-3</v>
      </c>
      <c r="D1494" s="31">
        <v>3112.76</v>
      </c>
      <c r="E1494" s="28">
        <f t="shared" si="32"/>
        <v>6.3036386858473471E-3</v>
      </c>
    </row>
    <row r="1495" spans="1:5">
      <c r="A1495" s="30">
        <v>43804</v>
      </c>
      <c r="B1495" s="28">
        <v>64.601685000000003</v>
      </c>
      <c r="C1495" s="28">
        <f t="shared" si="32"/>
        <v>1.4564475190744355E-2</v>
      </c>
      <c r="D1495" s="31">
        <v>3117.43</v>
      </c>
      <c r="E1495" s="28">
        <f t="shared" si="32"/>
        <v>1.4991519920369975E-3</v>
      </c>
    </row>
    <row r="1496" spans="1:5">
      <c r="A1496" s="30">
        <v>43805</v>
      </c>
      <c r="B1496" s="28">
        <v>65.849564000000001</v>
      </c>
      <c r="C1496" s="28">
        <f t="shared" si="32"/>
        <v>1.9132313019073831E-2</v>
      </c>
      <c r="D1496" s="31">
        <v>3145.91</v>
      </c>
      <c r="E1496" s="28">
        <f t="shared" si="32"/>
        <v>9.0942520403683308E-3</v>
      </c>
    </row>
    <row r="1497" spans="1:5">
      <c r="A1497" s="30">
        <v>43808</v>
      </c>
      <c r="B1497" s="28">
        <v>64.927666000000002</v>
      </c>
      <c r="C1497" s="28">
        <f t="shared" si="32"/>
        <v>-1.4098987588301881E-2</v>
      </c>
      <c r="D1497" s="31">
        <v>3135.96</v>
      </c>
      <c r="E1497" s="28">
        <f t="shared" si="32"/>
        <v>-3.1678491662223223E-3</v>
      </c>
    </row>
    <row r="1498" spans="1:5">
      <c r="A1498" s="30">
        <v>43809</v>
      </c>
      <c r="B1498" s="28">
        <v>65.307113999999999</v>
      </c>
      <c r="C1498" s="28">
        <f t="shared" si="32"/>
        <v>5.8271542164403372E-3</v>
      </c>
      <c r="D1498" s="31">
        <v>3132.52</v>
      </c>
      <c r="E1498" s="28">
        <f t="shared" si="32"/>
        <v>-1.0975548602935618E-3</v>
      </c>
    </row>
    <row r="1499" spans="1:5">
      <c r="A1499" s="30">
        <v>43810</v>
      </c>
      <c r="B1499" s="28">
        <v>65.864165999999997</v>
      </c>
      <c r="C1499" s="28">
        <f t="shared" si="32"/>
        <v>8.493556650973292E-3</v>
      </c>
      <c r="D1499" s="31">
        <v>3141.63</v>
      </c>
      <c r="E1499" s="28">
        <f t="shared" si="32"/>
        <v>2.9039810658439487E-3</v>
      </c>
    </row>
    <row r="1500" spans="1:5">
      <c r="A1500" s="30">
        <v>43811</v>
      </c>
      <c r="B1500" s="28">
        <v>66.031998000000002</v>
      </c>
      <c r="C1500" s="28">
        <f t="shared" si="32"/>
        <v>2.5449123839785598E-3</v>
      </c>
      <c r="D1500" s="31">
        <v>3168.57</v>
      </c>
      <c r="E1500" s="28">
        <f t="shared" si="32"/>
        <v>8.538608499854607E-3</v>
      </c>
    </row>
    <row r="1501" spans="1:5">
      <c r="A1501" s="30">
        <v>43812</v>
      </c>
      <c r="B1501" s="28">
        <v>66.929573000000005</v>
      </c>
      <c r="C1501" s="28">
        <f t="shared" si="32"/>
        <v>1.3501474570528625E-2</v>
      </c>
      <c r="D1501" s="31">
        <v>3168.8</v>
      </c>
      <c r="E1501" s="28">
        <f t="shared" si="32"/>
        <v>7.2585315391421147E-5</v>
      </c>
    </row>
    <row r="1502" spans="1:5">
      <c r="A1502" s="30">
        <v>43815</v>
      </c>
      <c r="B1502" s="28">
        <v>68.075264000000004</v>
      </c>
      <c r="C1502" s="28">
        <f t="shared" si="32"/>
        <v>1.6972999335546392E-2</v>
      </c>
      <c r="D1502" s="31">
        <v>3191.45</v>
      </c>
      <c r="E1502" s="28">
        <f t="shared" si="32"/>
        <v>7.1223916512376051E-3</v>
      </c>
    </row>
    <row r="1503" spans="1:5">
      <c r="A1503" s="30">
        <v>43816</v>
      </c>
      <c r="B1503" s="28">
        <v>68.209061000000005</v>
      </c>
      <c r="C1503" s="28">
        <f t="shared" si="32"/>
        <v>1.9634986339908322E-3</v>
      </c>
      <c r="D1503" s="31">
        <v>3192.52</v>
      </c>
      <c r="E1503" s="28">
        <f t="shared" si="32"/>
        <v>3.3521461097710362E-4</v>
      </c>
    </row>
    <row r="1504" spans="1:5">
      <c r="A1504" s="30">
        <v>43817</v>
      </c>
      <c r="B1504" s="28">
        <v>68.046088999999995</v>
      </c>
      <c r="C1504" s="28">
        <f t="shared" si="32"/>
        <v>-2.3921602628059935E-3</v>
      </c>
      <c r="D1504" s="31">
        <v>3191.14</v>
      </c>
      <c r="E1504" s="28">
        <f t="shared" si="32"/>
        <v>-4.3235386016704703E-4</v>
      </c>
    </row>
    <row r="1505" spans="1:5">
      <c r="A1505" s="30">
        <v>43818</v>
      </c>
      <c r="B1505" s="28">
        <v>68.114211999999995</v>
      </c>
      <c r="C1505" s="28">
        <f t="shared" si="32"/>
        <v>1.0006294813355424E-3</v>
      </c>
      <c r="D1505" s="31">
        <v>3205.37</v>
      </c>
      <c r="E1505" s="28">
        <f t="shared" si="32"/>
        <v>4.4493085995832623E-3</v>
      </c>
    </row>
    <row r="1506" spans="1:5">
      <c r="A1506" s="30">
        <v>43819</v>
      </c>
      <c r="B1506" s="28">
        <v>67.973106000000001</v>
      </c>
      <c r="C1506" s="28">
        <f t="shared" si="32"/>
        <v>-2.0737575351217328E-3</v>
      </c>
      <c r="D1506" s="31">
        <v>3221.22</v>
      </c>
      <c r="E1506" s="28">
        <f t="shared" si="32"/>
        <v>4.9326414590377477E-3</v>
      </c>
    </row>
    <row r="1507" spans="1:5">
      <c r="A1507" s="30">
        <v>43822</v>
      </c>
      <c r="B1507" s="28">
        <v>69.082313999999997</v>
      </c>
      <c r="C1507" s="28">
        <f t="shared" si="32"/>
        <v>1.6186623166423865E-2</v>
      </c>
      <c r="D1507" s="31">
        <v>3224.01</v>
      </c>
      <c r="E1507" s="28">
        <f t="shared" si="32"/>
        <v>8.6575659030548003E-4</v>
      </c>
    </row>
    <row r="1508" spans="1:5">
      <c r="A1508" s="30">
        <v>43823</v>
      </c>
      <c r="B1508" s="28">
        <v>69.147987000000001</v>
      </c>
      <c r="C1508" s="28">
        <f t="shared" si="32"/>
        <v>9.5019694619943786E-4</v>
      </c>
      <c r="D1508" s="31">
        <v>3223.38</v>
      </c>
      <c r="E1508" s="28">
        <f t="shared" si="32"/>
        <v>-1.9542791796535865E-4</v>
      </c>
    </row>
    <row r="1509" spans="1:5">
      <c r="A1509" s="30">
        <v>43825</v>
      </c>
      <c r="B1509" s="28">
        <v>70.519913000000003</v>
      </c>
      <c r="C1509" s="28">
        <f t="shared" si="32"/>
        <v>1.9646176778361613E-2</v>
      </c>
      <c r="D1509" s="31">
        <v>3239.91</v>
      </c>
      <c r="E1509" s="28">
        <f t="shared" si="32"/>
        <v>5.1150531820716109E-3</v>
      </c>
    </row>
    <row r="1510" spans="1:5">
      <c r="A1510" s="30">
        <v>43826</v>
      </c>
      <c r="B1510" s="28">
        <v>70.493155999999999</v>
      </c>
      <c r="C1510" s="28">
        <f t="shared" si="32"/>
        <v>-3.7949674467592406E-4</v>
      </c>
      <c r="D1510" s="31">
        <v>3240.02</v>
      </c>
      <c r="E1510" s="28">
        <f t="shared" si="32"/>
        <v>3.3950984041702139E-5</v>
      </c>
    </row>
    <row r="1511" spans="1:5">
      <c r="A1511" s="30">
        <v>43829</v>
      </c>
      <c r="B1511" s="28">
        <v>70.911536999999996</v>
      </c>
      <c r="C1511" s="28">
        <f t="shared" si="32"/>
        <v>5.9175153524712283E-3</v>
      </c>
      <c r="D1511" s="31">
        <v>3221.29</v>
      </c>
      <c r="E1511" s="28">
        <f t="shared" si="32"/>
        <v>-5.7976021775765895E-3</v>
      </c>
    </row>
    <row r="1512" spans="1:5">
      <c r="A1512" s="30">
        <v>43830</v>
      </c>
      <c r="B1512" s="28">
        <v>71.429657000000006</v>
      </c>
      <c r="C1512" s="28">
        <f t="shared" si="32"/>
        <v>7.280004807255696E-3</v>
      </c>
      <c r="D1512" s="31">
        <v>3230.78</v>
      </c>
      <c r="E1512" s="28">
        <f t="shared" si="32"/>
        <v>2.9416937024937355E-3</v>
      </c>
    </row>
    <row r="1513" spans="1:5">
      <c r="A1513" s="30">
        <v>43832</v>
      </c>
      <c r="B1513" s="28">
        <v>73.059417999999994</v>
      </c>
      <c r="C1513" s="28">
        <f t="shared" si="32"/>
        <v>2.2559908028720148E-2</v>
      </c>
      <c r="D1513" s="31">
        <v>3257.85</v>
      </c>
      <c r="E1513" s="28">
        <f t="shared" si="32"/>
        <v>8.3438744546931679E-3</v>
      </c>
    </row>
    <row r="1514" spans="1:5">
      <c r="A1514" s="30">
        <v>43833</v>
      </c>
      <c r="B1514" s="28">
        <v>72.349129000000005</v>
      </c>
      <c r="C1514" s="28">
        <f t="shared" si="32"/>
        <v>-9.7696409758430986E-3</v>
      </c>
      <c r="D1514" s="31">
        <v>3234.85</v>
      </c>
      <c r="E1514" s="28">
        <f t="shared" si="32"/>
        <v>-7.0849095780836013E-3</v>
      </c>
    </row>
    <row r="1515" spans="1:5">
      <c r="A1515" s="30">
        <v>43836</v>
      </c>
      <c r="B1515" s="28">
        <v>72.925629000000001</v>
      </c>
      <c r="C1515" s="28">
        <f t="shared" si="32"/>
        <v>7.9367267122862264E-3</v>
      </c>
      <c r="D1515" s="31">
        <v>3246.28</v>
      </c>
      <c r="E1515" s="28">
        <f t="shared" si="32"/>
        <v>3.527166358322553E-3</v>
      </c>
    </row>
    <row r="1516" spans="1:5">
      <c r="A1516" s="30">
        <v>43837</v>
      </c>
      <c r="B1516" s="28">
        <v>72.582663999999994</v>
      </c>
      <c r="C1516" s="28">
        <f t="shared" si="32"/>
        <v>-4.7140355789556422E-3</v>
      </c>
      <c r="D1516" s="31">
        <v>3237.18</v>
      </c>
      <c r="E1516" s="28">
        <f t="shared" si="32"/>
        <v>-2.807144942889736E-3</v>
      </c>
    </row>
    <row r="1517" spans="1:5">
      <c r="A1517" s="30">
        <v>43838</v>
      </c>
      <c r="B1517" s="28">
        <v>73.750243999999995</v>
      </c>
      <c r="C1517" s="28">
        <f t="shared" si="32"/>
        <v>1.595819825143488E-2</v>
      </c>
      <c r="D1517" s="31">
        <v>3253.05</v>
      </c>
      <c r="E1517" s="28">
        <f t="shared" si="32"/>
        <v>4.8904373587368467E-3</v>
      </c>
    </row>
    <row r="1518" spans="1:5">
      <c r="A1518" s="30">
        <v>43839</v>
      </c>
      <c r="B1518" s="28">
        <v>75.316765000000004</v>
      </c>
      <c r="C1518" s="28">
        <f t="shared" si="32"/>
        <v>2.1018449097878023E-2</v>
      </c>
      <c r="D1518" s="31">
        <v>3274.7</v>
      </c>
      <c r="E1518" s="28">
        <f t="shared" si="32"/>
        <v>6.6332440375756734E-3</v>
      </c>
    </row>
    <row r="1519" spans="1:5">
      <c r="A1519" s="30">
        <v>43840</v>
      </c>
      <c r="B1519" s="28">
        <v>75.487030000000004</v>
      </c>
      <c r="C1519" s="28">
        <f t="shared" si="32"/>
        <v>2.2581006313361464E-3</v>
      </c>
      <c r="D1519" s="31">
        <v>3265.35</v>
      </c>
      <c r="E1519" s="28">
        <f t="shared" si="32"/>
        <v>-2.8593073050462519E-3</v>
      </c>
    </row>
    <row r="1520" spans="1:5">
      <c r="A1520" s="30">
        <v>43843</v>
      </c>
      <c r="B1520" s="28">
        <v>77.099739</v>
      </c>
      <c r="C1520" s="28">
        <f t="shared" si="32"/>
        <v>2.1139041931299556E-2</v>
      </c>
      <c r="D1520" s="31">
        <v>3288.13</v>
      </c>
      <c r="E1520" s="28">
        <f t="shared" si="32"/>
        <v>6.9520595923161831E-3</v>
      </c>
    </row>
    <row r="1521" spans="1:5">
      <c r="A1521" s="30">
        <v>43844</v>
      </c>
      <c r="B1521" s="28">
        <v>76.058661999999998</v>
      </c>
      <c r="C1521" s="28">
        <f t="shared" si="32"/>
        <v>-1.3594984379392683E-2</v>
      </c>
      <c r="D1521" s="31">
        <v>3283.15</v>
      </c>
      <c r="E1521" s="28">
        <f t="shared" si="32"/>
        <v>-1.5156867317727837E-3</v>
      </c>
    </row>
    <row r="1522" spans="1:5">
      <c r="A1522" s="30">
        <v>43845</v>
      </c>
      <c r="B1522" s="28">
        <v>75.732712000000006</v>
      </c>
      <c r="C1522" s="28">
        <f t="shared" si="32"/>
        <v>-4.2947170502737591E-3</v>
      </c>
      <c r="D1522" s="31">
        <v>3289.29</v>
      </c>
      <c r="E1522" s="28">
        <f t="shared" si="32"/>
        <v>1.8684086233433153E-3</v>
      </c>
    </row>
    <row r="1523" spans="1:5">
      <c r="A1523" s="30">
        <v>43846</v>
      </c>
      <c r="B1523" s="28">
        <v>76.681374000000005</v>
      </c>
      <c r="C1523" s="28">
        <f t="shared" si="32"/>
        <v>1.2448642719875693E-2</v>
      </c>
      <c r="D1523" s="31">
        <v>3316.81</v>
      </c>
      <c r="E1523" s="28">
        <f t="shared" si="32"/>
        <v>8.33174163220134E-3</v>
      </c>
    </row>
    <row r="1524" spans="1:5">
      <c r="A1524" s="30">
        <v>43847</v>
      </c>
      <c r="B1524" s="28">
        <v>77.530304000000001</v>
      </c>
      <c r="C1524" s="28">
        <f t="shared" si="32"/>
        <v>1.1010042646239362E-2</v>
      </c>
      <c r="D1524" s="31">
        <v>3329.62</v>
      </c>
      <c r="E1524" s="28">
        <f t="shared" si="32"/>
        <v>3.8547057177216299E-3</v>
      </c>
    </row>
    <row r="1525" spans="1:5">
      <c r="A1525" s="30">
        <v>43851</v>
      </c>
      <c r="B1525" s="28">
        <v>77.004897999999997</v>
      </c>
      <c r="C1525" s="28">
        <f t="shared" si="32"/>
        <v>-6.7998490657555609E-3</v>
      </c>
      <c r="D1525" s="31">
        <v>3320.79</v>
      </c>
      <c r="E1525" s="28">
        <f t="shared" si="32"/>
        <v>-2.6554769371424261E-3</v>
      </c>
    </row>
    <row r="1526" spans="1:5">
      <c r="A1526" s="30">
        <v>43852</v>
      </c>
      <c r="B1526" s="28">
        <v>77.279769999999999</v>
      </c>
      <c r="C1526" s="28">
        <f t="shared" si="32"/>
        <v>3.5631834891183818E-3</v>
      </c>
      <c r="D1526" s="31">
        <v>3321.75</v>
      </c>
      <c r="E1526" s="28">
        <f t="shared" si="32"/>
        <v>2.8904605969510904E-4</v>
      </c>
    </row>
    <row r="1527" spans="1:5">
      <c r="A1527" s="30">
        <v>43853</v>
      </c>
      <c r="B1527" s="28">
        <v>77.651947000000007</v>
      </c>
      <c r="C1527" s="28">
        <f t="shared" si="32"/>
        <v>4.8044096212152155E-3</v>
      </c>
      <c r="D1527" s="31">
        <v>3325.54</v>
      </c>
      <c r="E1527" s="28">
        <f t="shared" si="32"/>
        <v>1.1403144471457103E-3</v>
      </c>
    </row>
    <row r="1528" spans="1:5">
      <c r="A1528" s="30">
        <v>43854</v>
      </c>
      <c r="B1528" s="28">
        <v>77.428145999999998</v>
      </c>
      <c r="C1528" s="28">
        <f t="shared" si="32"/>
        <v>-2.8862654262791524E-3</v>
      </c>
      <c r="D1528" s="31">
        <v>3295.47</v>
      </c>
      <c r="E1528" s="28">
        <f t="shared" si="32"/>
        <v>-9.0832687899366753E-3</v>
      </c>
    </row>
    <row r="1529" spans="1:5">
      <c r="A1529" s="30">
        <v>43857</v>
      </c>
      <c r="B1529" s="28">
        <v>75.151352000000003</v>
      </c>
      <c r="C1529" s="28">
        <f t="shared" si="32"/>
        <v>-2.9846251181844443E-2</v>
      </c>
      <c r="D1529" s="31">
        <v>3243.63</v>
      </c>
      <c r="E1529" s="28">
        <f t="shared" si="32"/>
        <v>-1.5855725118383686E-2</v>
      </c>
    </row>
    <row r="1530" spans="1:5">
      <c r="A1530" s="30">
        <v>43858</v>
      </c>
      <c r="B1530" s="28">
        <v>77.277336000000005</v>
      </c>
      <c r="C1530" s="28">
        <f t="shared" si="32"/>
        <v>2.7896610537949344E-2</v>
      </c>
      <c r="D1530" s="31">
        <v>3276.24</v>
      </c>
      <c r="E1530" s="28">
        <f t="shared" si="32"/>
        <v>1.0003350352589398E-2</v>
      </c>
    </row>
    <row r="1531" spans="1:5">
      <c r="A1531" s="30">
        <v>43859</v>
      </c>
      <c r="B1531" s="28">
        <v>78.894936000000001</v>
      </c>
      <c r="C1531" s="28">
        <f t="shared" si="32"/>
        <v>2.0716326022138985E-2</v>
      </c>
      <c r="D1531" s="31">
        <v>3273.4</v>
      </c>
      <c r="E1531" s="28">
        <f t="shared" si="32"/>
        <v>-8.6722329104840649E-4</v>
      </c>
    </row>
    <row r="1532" spans="1:5">
      <c r="A1532" s="30">
        <v>43860</v>
      </c>
      <c r="B1532" s="28">
        <v>78.780617000000007</v>
      </c>
      <c r="C1532" s="28">
        <f t="shared" si="32"/>
        <v>-1.4500538334071362E-3</v>
      </c>
      <c r="D1532" s="31">
        <v>3283.66</v>
      </c>
      <c r="E1532" s="28">
        <f t="shared" si="32"/>
        <v>3.1294538629889324E-3</v>
      </c>
    </row>
    <row r="1533" spans="1:5">
      <c r="A1533" s="30">
        <v>43861</v>
      </c>
      <c r="B1533" s="28">
        <v>75.287582</v>
      </c>
      <c r="C1533" s="28">
        <f t="shared" si="32"/>
        <v>-4.5351781921657196E-2</v>
      </c>
      <c r="D1533" s="31">
        <v>3225.52</v>
      </c>
      <c r="E1533" s="28">
        <f t="shared" si="32"/>
        <v>-1.7864476392643731E-2</v>
      </c>
    </row>
    <row r="1534" spans="1:5">
      <c r="A1534" s="30">
        <v>43864</v>
      </c>
      <c r="B1534" s="28">
        <v>75.080826000000002</v>
      </c>
      <c r="C1534" s="28">
        <f t="shared" si="32"/>
        <v>-2.7499942713870512E-3</v>
      </c>
      <c r="D1534" s="31">
        <v>3248.92</v>
      </c>
      <c r="E1534" s="28">
        <f t="shared" si="32"/>
        <v>7.2284558629105433E-3</v>
      </c>
    </row>
    <row r="1535" spans="1:5">
      <c r="A1535" s="30">
        <v>43865</v>
      </c>
      <c r="B1535" s="28">
        <v>77.559509000000006</v>
      </c>
      <c r="C1535" s="28">
        <f t="shared" si="32"/>
        <v>3.248028651555214E-2</v>
      </c>
      <c r="D1535" s="31">
        <v>3297.59</v>
      </c>
      <c r="E1535" s="28">
        <f t="shared" si="32"/>
        <v>1.4869265218066252E-2</v>
      </c>
    </row>
    <row r="1536" spans="1:5">
      <c r="A1536" s="30">
        <v>43866</v>
      </c>
      <c r="B1536" s="28">
        <v>78.191963000000001</v>
      </c>
      <c r="C1536" s="28">
        <f t="shared" si="32"/>
        <v>8.1213675618600992E-3</v>
      </c>
      <c r="D1536" s="31">
        <v>3334.69</v>
      </c>
      <c r="E1536" s="28">
        <f t="shared" si="32"/>
        <v>1.1187822882933645E-2</v>
      </c>
    </row>
    <row r="1537" spans="1:5">
      <c r="A1537" s="30">
        <v>43867</v>
      </c>
      <c r="B1537" s="28">
        <v>79.106551999999994</v>
      </c>
      <c r="C1537" s="28">
        <f t="shared" si="32"/>
        <v>1.1628835868147808E-2</v>
      </c>
      <c r="D1537" s="31">
        <v>3345.78</v>
      </c>
      <c r="E1537" s="28">
        <f t="shared" si="32"/>
        <v>3.3201287296620923E-3</v>
      </c>
    </row>
    <row r="1538" spans="1:5">
      <c r="A1538" s="30">
        <v>43868</v>
      </c>
      <c r="B1538" s="28">
        <v>78.031281000000007</v>
      </c>
      <c r="C1538" s="28">
        <f t="shared" si="32"/>
        <v>-1.3685918444946276E-2</v>
      </c>
      <c r="D1538" s="31">
        <v>3327.71</v>
      </c>
      <c r="E1538" s="28">
        <f t="shared" si="32"/>
        <v>-5.4154705145391972E-3</v>
      </c>
    </row>
    <row r="1539" spans="1:5">
      <c r="A1539" s="30">
        <v>43871</v>
      </c>
      <c r="B1539" s="28">
        <v>78.401909000000003</v>
      </c>
      <c r="C1539" s="28">
        <f t="shared" si="32"/>
        <v>4.7384917930142567E-3</v>
      </c>
      <c r="D1539" s="31">
        <v>3352.09</v>
      </c>
      <c r="E1539" s="28">
        <f t="shared" si="32"/>
        <v>7.2996521623710205E-3</v>
      </c>
    </row>
    <row r="1540" spans="1:5">
      <c r="A1540" s="30">
        <v>43872</v>
      </c>
      <c r="B1540" s="28">
        <v>77.928871000000001</v>
      </c>
      <c r="C1540" s="28">
        <f t="shared" si="32"/>
        <v>-6.0517761596390694E-3</v>
      </c>
      <c r="D1540" s="31">
        <v>3357.75</v>
      </c>
      <c r="E1540" s="28">
        <f t="shared" si="32"/>
        <v>1.6870749056512096E-3</v>
      </c>
    </row>
    <row r="1541" spans="1:5">
      <c r="A1541" s="30">
        <v>43873</v>
      </c>
      <c r="B1541" s="28">
        <v>79.779510000000002</v>
      </c>
      <c r="C1541" s="28">
        <f t="shared" ref="C1541:E1604" si="33">LN(B1541/B1540)</f>
        <v>2.3470204178126002E-2</v>
      </c>
      <c r="D1541" s="31">
        <v>3379.45</v>
      </c>
      <c r="E1541" s="28">
        <f t="shared" si="33"/>
        <v>6.4418675537450355E-3</v>
      </c>
    </row>
    <row r="1542" spans="1:5">
      <c r="A1542" s="30">
        <v>43874</v>
      </c>
      <c r="B1542" s="28">
        <v>79.211371999999997</v>
      </c>
      <c r="C1542" s="28">
        <f t="shared" si="33"/>
        <v>-7.1468301966977994E-3</v>
      </c>
      <c r="D1542" s="31">
        <v>3373.94</v>
      </c>
      <c r="E1542" s="28">
        <f t="shared" si="33"/>
        <v>-1.6317734419649113E-3</v>
      </c>
    </row>
    <row r="1543" spans="1:5">
      <c r="A1543" s="30">
        <v>43875</v>
      </c>
      <c r="B1543" s="28">
        <v>79.230919</v>
      </c>
      <c r="C1543" s="28">
        <f t="shared" si="33"/>
        <v>2.4673968011704617E-4</v>
      </c>
      <c r="D1543" s="31">
        <v>3380.16</v>
      </c>
      <c r="E1543" s="28">
        <f t="shared" si="33"/>
        <v>1.8418447338326407E-3</v>
      </c>
    </row>
    <row r="1544" spans="1:5">
      <c r="A1544" s="30">
        <v>43879</v>
      </c>
      <c r="B1544" s="28">
        <v>77.780128000000005</v>
      </c>
      <c r="C1544" s="28">
        <f t="shared" si="33"/>
        <v>-1.8480639658106396E-2</v>
      </c>
      <c r="D1544" s="31">
        <v>3370.29</v>
      </c>
      <c r="E1544" s="28">
        <f t="shared" si="33"/>
        <v>-2.9242515783095627E-3</v>
      </c>
    </row>
    <row r="1545" spans="1:5">
      <c r="A1545" s="30">
        <v>43880</v>
      </c>
      <c r="B1545" s="28">
        <v>78.906616</v>
      </c>
      <c r="C1545" s="28">
        <f t="shared" si="33"/>
        <v>1.4379102921304055E-2</v>
      </c>
      <c r="D1545" s="31">
        <v>3386.15</v>
      </c>
      <c r="E1545" s="28">
        <f t="shared" si="33"/>
        <v>4.6947887144410351E-3</v>
      </c>
    </row>
    <row r="1546" spans="1:5">
      <c r="A1546" s="30">
        <v>43881</v>
      </c>
      <c r="B1546" s="28">
        <v>78.097130000000007</v>
      </c>
      <c r="C1546" s="28">
        <f t="shared" si="33"/>
        <v>-1.0311768903675843E-2</v>
      </c>
      <c r="D1546" s="31">
        <v>3373.23</v>
      </c>
      <c r="E1546" s="28">
        <f t="shared" si="33"/>
        <v>-3.8228404778309472E-3</v>
      </c>
    </row>
    <row r="1547" spans="1:5">
      <c r="A1547" s="30">
        <v>43882</v>
      </c>
      <c r="B1547" s="28">
        <v>76.329384000000005</v>
      </c>
      <c r="C1547" s="28">
        <f t="shared" si="33"/>
        <v>-2.2895332854734302E-2</v>
      </c>
      <c r="D1547" s="31">
        <v>3337.75</v>
      </c>
      <c r="E1547" s="28">
        <f t="shared" si="33"/>
        <v>-1.0573815022893411E-2</v>
      </c>
    </row>
    <row r="1548" spans="1:5">
      <c r="A1548" s="30">
        <v>43885</v>
      </c>
      <c r="B1548" s="28">
        <v>72.703697000000005</v>
      </c>
      <c r="C1548" s="28">
        <f t="shared" si="33"/>
        <v>-4.8665739490087193E-2</v>
      </c>
      <c r="D1548" s="31">
        <v>3225.89</v>
      </c>
      <c r="E1548" s="28">
        <f t="shared" si="33"/>
        <v>-3.4088046120521465E-2</v>
      </c>
    </row>
    <row r="1549" spans="1:5">
      <c r="A1549" s="30">
        <v>43886</v>
      </c>
      <c r="B1549" s="28">
        <v>70.241073999999998</v>
      </c>
      <c r="C1549" s="28">
        <f t="shared" si="33"/>
        <v>-3.4458996423554891E-2</v>
      </c>
      <c r="D1549" s="31">
        <v>3128.21</v>
      </c>
      <c r="E1549" s="28">
        <f t="shared" si="33"/>
        <v>-3.0747925188099268E-2</v>
      </c>
    </row>
    <row r="1550" spans="1:5">
      <c r="A1550" s="30">
        <v>43887</v>
      </c>
      <c r="B1550" s="28">
        <v>71.355362</v>
      </c>
      <c r="C1550" s="28">
        <f t="shared" si="33"/>
        <v>1.5739252122142423E-2</v>
      </c>
      <c r="D1550" s="31">
        <v>3116.39</v>
      </c>
      <c r="E1550" s="28">
        <f t="shared" si="33"/>
        <v>-3.7856753407310142E-3</v>
      </c>
    </row>
    <row r="1551" spans="1:5">
      <c r="A1551" s="30">
        <v>43888</v>
      </c>
      <c r="B1551" s="28">
        <v>66.691001999999997</v>
      </c>
      <c r="C1551" s="28">
        <f t="shared" si="33"/>
        <v>-6.7602450492222826E-2</v>
      </c>
      <c r="D1551" s="31">
        <v>2978.76</v>
      </c>
      <c r="E1551" s="28">
        <f t="shared" si="33"/>
        <v>-4.5168174100652832E-2</v>
      </c>
    </row>
    <row r="1552" spans="1:5">
      <c r="A1552" s="30">
        <v>43889</v>
      </c>
      <c r="B1552" s="28">
        <v>66.651970000000006</v>
      </c>
      <c r="C1552" s="28">
        <f t="shared" si="33"/>
        <v>-5.8543769543100332E-4</v>
      </c>
      <c r="D1552" s="31">
        <v>2954.22</v>
      </c>
      <c r="E1552" s="28">
        <f t="shared" si="33"/>
        <v>-8.2724499142758506E-3</v>
      </c>
    </row>
    <row r="1553" spans="1:5">
      <c r="A1553" s="30">
        <v>43892</v>
      </c>
      <c r="B1553" s="28">
        <v>72.857322999999994</v>
      </c>
      <c r="C1553" s="28">
        <f t="shared" si="33"/>
        <v>8.9018445631766932E-2</v>
      </c>
      <c r="D1553" s="31">
        <v>3090.23</v>
      </c>
      <c r="E1553" s="28">
        <f t="shared" si="33"/>
        <v>4.5010865172777872E-2</v>
      </c>
    </row>
    <row r="1554" spans="1:5">
      <c r="A1554" s="30">
        <v>43893</v>
      </c>
      <c r="B1554" s="28">
        <v>70.543441999999999</v>
      </c>
      <c r="C1554" s="28">
        <f t="shared" si="33"/>
        <v>-3.2274330581629283E-2</v>
      </c>
      <c r="D1554" s="31">
        <v>3003.37</v>
      </c>
      <c r="E1554" s="28">
        <f t="shared" si="33"/>
        <v>-2.8510530261905299E-2</v>
      </c>
    </row>
    <row r="1555" spans="1:5">
      <c r="A1555" s="30">
        <v>43894</v>
      </c>
      <c r="B1555" s="28">
        <v>73.815558999999993</v>
      </c>
      <c r="C1555" s="28">
        <f t="shared" si="33"/>
        <v>4.5340817316504869E-2</v>
      </c>
      <c r="D1555" s="31">
        <v>3130.12</v>
      </c>
      <c r="E1555" s="28">
        <f t="shared" si="33"/>
        <v>4.133635094064169E-2</v>
      </c>
    </row>
    <row r="1556" spans="1:5">
      <c r="A1556" s="30">
        <v>43895</v>
      </c>
      <c r="B1556" s="28">
        <v>71.421195999999995</v>
      </c>
      <c r="C1556" s="28">
        <f t="shared" si="33"/>
        <v>-3.2974847908286017E-2</v>
      </c>
      <c r="D1556" s="31">
        <v>3023.94</v>
      </c>
      <c r="E1556" s="28">
        <f t="shared" si="33"/>
        <v>-3.4510725624696516E-2</v>
      </c>
    </row>
    <row r="1557" spans="1:5">
      <c r="A1557" s="30">
        <v>43896</v>
      </c>
      <c r="B1557" s="28">
        <v>70.472724999999997</v>
      </c>
      <c r="C1557" s="28">
        <f t="shared" si="33"/>
        <v>-1.3368932507167279E-2</v>
      </c>
      <c r="D1557" s="31">
        <v>2972.37</v>
      </c>
      <c r="E1557" s="28">
        <f t="shared" si="33"/>
        <v>-1.7201002454620039E-2</v>
      </c>
    </row>
    <row r="1558" spans="1:5">
      <c r="A1558" s="30">
        <v>43899</v>
      </c>
      <c r="B1558" s="28">
        <v>64.898894999999996</v>
      </c>
      <c r="C1558" s="28">
        <f t="shared" si="33"/>
        <v>-8.2395158157491294E-2</v>
      </c>
      <c r="D1558" s="31">
        <v>2746.56</v>
      </c>
      <c r="E1558" s="28">
        <f t="shared" si="33"/>
        <v>-7.9010394848266635E-2</v>
      </c>
    </row>
    <row r="1559" spans="1:5">
      <c r="A1559" s="30">
        <v>43900</v>
      </c>
      <c r="B1559" s="28">
        <v>69.573006000000007</v>
      </c>
      <c r="C1559" s="28">
        <f t="shared" si="33"/>
        <v>6.9546049910577987E-2</v>
      </c>
      <c r="D1559" s="31">
        <v>2882.23</v>
      </c>
      <c r="E1559" s="28">
        <f t="shared" si="33"/>
        <v>4.821508053580021E-2</v>
      </c>
    </row>
    <row r="1560" spans="1:5">
      <c r="A1560" s="30">
        <v>43901</v>
      </c>
      <c r="B1560" s="28">
        <v>67.156707999999995</v>
      </c>
      <c r="C1560" s="28">
        <f t="shared" si="33"/>
        <v>-3.5347833545761612E-2</v>
      </c>
      <c r="D1560" s="31">
        <v>2741.38</v>
      </c>
      <c r="E1560" s="28">
        <f t="shared" si="33"/>
        <v>-5.0102856837410732E-2</v>
      </c>
    </row>
    <row r="1561" spans="1:5">
      <c r="A1561" s="30">
        <v>43902</v>
      </c>
      <c r="B1561" s="28">
        <v>60.524653999999998</v>
      </c>
      <c r="C1561" s="28">
        <f t="shared" si="33"/>
        <v>-0.10397802757400042</v>
      </c>
      <c r="D1561" s="31">
        <v>2480.64</v>
      </c>
      <c r="E1561" s="28">
        <f t="shared" si="33"/>
        <v>-9.9944851846007432E-2</v>
      </c>
    </row>
    <row r="1562" spans="1:5">
      <c r="A1562" s="30">
        <v>43903</v>
      </c>
      <c r="B1562" s="28">
        <v>67.776009000000002</v>
      </c>
      <c r="C1562" s="28">
        <f t="shared" si="33"/>
        <v>0.11315749660753271</v>
      </c>
      <c r="D1562" s="31">
        <v>2711.02</v>
      </c>
      <c r="E1562" s="28">
        <f t="shared" si="33"/>
        <v>8.8808356440746597E-2</v>
      </c>
    </row>
    <row r="1563" spans="1:5">
      <c r="A1563" s="30">
        <v>43906</v>
      </c>
      <c r="B1563" s="28">
        <v>59.056831000000003</v>
      </c>
      <c r="C1563" s="28">
        <f t="shared" si="33"/>
        <v>-0.13770806519079185</v>
      </c>
      <c r="D1563" s="31">
        <v>2386.13</v>
      </c>
      <c r="E1563" s="28">
        <f t="shared" si="33"/>
        <v>-0.12765214115647325</v>
      </c>
    </row>
    <row r="1564" spans="1:5">
      <c r="A1564" s="30">
        <v>43907</v>
      </c>
      <c r="B1564" s="28">
        <v>61.653568</v>
      </c>
      <c r="C1564" s="28">
        <f t="shared" si="33"/>
        <v>4.3030885458523925E-2</v>
      </c>
      <c r="D1564" s="31">
        <v>2529.19</v>
      </c>
      <c r="E1564" s="28">
        <f t="shared" si="33"/>
        <v>5.8226286690741702E-2</v>
      </c>
    </row>
    <row r="1565" spans="1:5">
      <c r="A1565" s="30">
        <v>43908</v>
      </c>
      <c r="B1565" s="28">
        <v>60.144286999999998</v>
      </c>
      <c r="C1565" s="28">
        <f t="shared" si="33"/>
        <v>-2.4784644345776836E-2</v>
      </c>
      <c r="D1565" s="31">
        <v>2398.1</v>
      </c>
      <c r="E1565" s="28">
        <f t="shared" si="33"/>
        <v>-5.322233622142454E-2</v>
      </c>
    </row>
    <row r="1566" spans="1:5">
      <c r="A1566" s="30">
        <v>43909</v>
      </c>
      <c r="B1566" s="28">
        <v>59.683464000000001</v>
      </c>
      <c r="C1566" s="28">
        <f t="shared" si="33"/>
        <v>-7.6914615847320459E-3</v>
      </c>
      <c r="D1566" s="31">
        <v>2409.39</v>
      </c>
      <c r="E1566" s="28">
        <f t="shared" si="33"/>
        <v>4.6968462774209588E-3</v>
      </c>
    </row>
    <row r="1567" spans="1:5">
      <c r="A1567" s="30">
        <v>43910</v>
      </c>
      <c r="B1567" s="28">
        <v>55.894424000000001</v>
      </c>
      <c r="C1567" s="28">
        <f t="shared" si="33"/>
        <v>-6.5590371473560893E-2</v>
      </c>
      <c r="D1567" s="31">
        <v>2304.92</v>
      </c>
      <c r="E1567" s="28">
        <f t="shared" si="33"/>
        <v>-4.4327634743158498E-2</v>
      </c>
    </row>
    <row r="1568" spans="1:5">
      <c r="A1568" s="30">
        <v>43913</v>
      </c>
      <c r="B1568" s="28">
        <v>54.706997000000001</v>
      </c>
      <c r="C1568" s="28">
        <f t="shared" si="33"/>
        <v>-2.1473008480633334E-2</v>
      </c>
      <c r="D1568" s="31">
        <v>2237.4</v>
      </c>
      <c r="E1568" s="28">
        <f t="shared" si="33"/>
        <v>-2.9731491257259945E-2</v>
      </c>
    </row>
    <row r="1569" spans="1:5">
      <c r="A1569" s="30">
        <v>43914</v>
      </c>
      <c r="B1569" s="28">
        <v>60.195492000000002</v>
      </c>
      <c r="C1569" s="28">
        <f t="shared" si="33"/>
        <v>9.5605848637589627E-2</v>
      </c>
      <c r="D1569" s="31">
        <v>2447.33</v>
      </c>
      <c r="E1569" s="28">
        <f t="shared" si="33"/>
        <v>8.9683156948216491E-2</v>
      </c>
    </row>
    <row r="1570" spans="1:5">
      <c r="A1570" s="30">
        <v>43915</v>
      </c>
      <c r="B1570" s="28">
        <v>59.863899000000004</v>
      </c>
      <c r="C1570" s="28">
        <f t="shared" si="33"/>
        <v>-5.5238301708422158E-3</v>
      </c>
      <c r="D1570" s="31">
        <v>2475.56</v>
      </c>
      <c r="E1570" s="28">
        <f t="shared" si="33"/>
        <v>1.1468998674479099E-2</v>
      </c>
    </row>
    <row r="1571" spans="1:5">
      <c r="A1571" s="30">
        <v>43916</v>
      </c>
      <c r="B1571" s="28">
        <v>63.014111</v>
      </c>
      <c r="C1571" s="28">
        <f t="shared" si="33"/>
        <v>5.1285049818740228E-2</v>
      </c>
      <c r="D1571" s="31">
        <v>2630.07</v>
      </c>
      <c r="E1571" s="28">
        <f t="shared" si="33"/>
        <v>6.0543828751667757E-2</v>
      </c>
    </row>
    <row r="1572" spans="1:5">
      <c r="A1572" s="30">
        <v>43917</v>
      </c>
      <c r="B1572" s="28">
        <v>60.405189999999997</v>
      </c>
      <c r="C1572" s="28">
        <f t="shared" si="33"/>
        <v>-4.2283657036256514E-2</v>
      </c>
      <c r="D1572" s="31">
        <v>2541.4699999999998</v>
      </c>
      <c r="E1572" s="28">
        <f t="shared" si="33"/>
        <v>-3.4267808022629478E-2</v>
      </c>
    </row>
    <row r="1573" spans="1:5">
      <c r="A1573" s="30">
        <v>43920</v>
      </c>
      <c r="B1573" s="28">
        <v>62.129027999999998</v>
      </c>
      <c r="C1573" s="28">
        <f t="shared" si="33"/>
        <v>2.8138290935535906E-2</v>
      </c>
      <c r="D1573" s="31">
        <v>2626.65</v>
      </c>
      <c r="E1573" s="28">
        <f t="shared" si="33"/>
        <v>3.2966616221455518E-2</v>
      </c>
    </row>
    <row r="1574" spans="1:5">
      <c r="A1574" s="30">
        <v>43921</v>
      </c>
      <c r="B1574" s="28">
        <v>62.002234999999999</v>
      </c>
      <c r="C1574" s="28">
        <f t="shared" si="33"/>
        <v>-2.0428865546359273E-3</v>
      </c>
      <c r="D1574" s="31">
        <v>2584.59</v>
      </c>
      <c r="E1574" s="28">
        <f t="shared" si="33"/>
        <v>-1.6142381973062482E-2</v>
      </c>
    </row>
    <row r="1575" spans="1:5">
      <c r="A1575" s="30">
        <v>43922</v>
      </c>
      <c r="B1575" s="28">
        <v>58.739863999999997</v>
      </c>
      <c r="C1575" s="28">
        <f t="shared" si="33"/>
        <v>-5.4051822302375652E-2</v>
      </c>
      <c r="D1575" s="31">
        <v>2470.5</v>
      </c>
      <c r="E1575" s="28">
        <f t="shared" si="33"/>
        <v>-4.5146328727152268E-2</v>
      </c>
    </row>
    <row r="1576" spans="1:5">
      <c r="A1576" s="30">
        <v>43923</v>
      </c>
      <c r="B1576" s="28">
        <v>59.720036</v>
      </c>
      <c r="C1576" s="28">
        <f t="shared" si="33"/>
        <v>1.6548965003850766E-2</v>
      </c>
      <c r="D1576" s="31">
        <v>2526.9</v>
      </c>
      <c r="E1576" s="28">
        <f t="shared" si="33"/>
        <v>2.2572695703622976E-2</v>
      </c>
    </row>
    <row r="1577" spans="1:5">
      <c r="A1577" s="30">
        <v>43924</v>
      </c>
      <c r="B1577" s="28">
        <v>58.861770999999997</v>
      </c>
      <c r="C1577" s="28">
        <f t="shared" si="33"/>
        <v>-1.4475744786028436E-2</v>
      </c>
      <c r="D1577" s="31">
        <v>2488.65</v>
      </c>
      <c r="E1577" s="28">
        <f t="shared" si="33"/>
        <v>-1.5252860231953606E-2</v>
      </c>
    </row>
    <row r="1578" spans="1:5">
      <c r="A1578" s="30">
        <v>43927</v>
      </c>
      <c r="B1578" s="28">
        <v>63.996730999999997</v>
      </c>
      <c r="C1578" s="28">
        <f t="shared" si="33"/>
        <v>8.3640173232232468E-2</v>
      </c>
      <c r="D1578" s="31">
        <v>2663.68</v>
      </c>
      <c r="E1578" s="28">
        <f t="shared" si="33"/>
        <v>6.7968230567686042E-2</v>
      </c>
    </row>
    <row r="1579" spans="1:5">
      <c r="A1579" s="30">
        <v>43928</v>
      </c>
      <c r="B1579" s="28">
        <v>63.255493000000001</v>
      </c>
      <c r="C1579" s="28">
        <f t="shared" si="33"/>
        <v>-1.1650034243590424E-2</v>
      </c>
      <c r="D1579" s="31">
        <v>2659.41</v>
      </c>
      <c r="E1579" s="28">
        <f t="shared" si="33"/>
        <v>-1.6043316629523077E-3</v>
      </c>
    </row>
    <row r="1580" spans="1:5">
      <c r="A1580" s="30">
        <v>43929</v>
      </c>
      <c r="B1580" s="28">
        <v>64.874495999999994</v>
      </c>
      <c r="C1580" s="28">
        <f t="shared" si="33"/>
        <v>2.5272602983198857E-2</v>
      </c>
      <c r="D1580" s="31">
        <v>2749.98</v>
      </c>
      <c r="E1580" s="28">
        <f t="shared" si="33"/>
        <v>3.3489345244689953E-2</v>
      </c>
    </row>
    <row r="1581" spans="1:5">
      <c r="A1581" s="30">
        <v>43930</v>
      </c>
      <c r="B1581" s="28">
        <v>65.342644000000007</v>
      </c>
      <c r="C1581" s="28">
        <f t="shared" si="33"/>
        <v>7.1902979431265387E-3</v>
      </c>
      <c r="D1581" s="31">
        <v>2789.82</v>
      </c>
      <c r="E1581" s="28">
        <f t="shared" si="33"/>
        <v>1.438343869822631E-2</v>
      </c>
    </row>
    <row r="1582" spans="1:5">
      <c r="A1582" s="30">
        <v>43934</v>
      </c>
      <c r="B1582" s="28">
        <v>66.625174999999999</v>
      </c>
      <c r="C1582" s="28">
        <f t="shared" si="33"/>
        <v>1.943763851133511E-2</v>
      </c>
      <c r="D1582" s="31">
        <v>2761.63</v>
      </c>
      <c r="E1582" s="28">
        <f t="shared" si="33"/>
        <v>-1.0155992507349275E-2</v>
      </c>
    </row>
    <row r="1583" spans="1:5">
      <c r="A1583" s="30">
        <v>43935</v>
      </c>
      <c r="B1583" s="28">
        <v>69.989959999999996</v>
      </c>
      <c r="C1583" s="28">
        <f t="shared" si="33"/>
        <v>4.926929406685928E-2</v>
      </c>
      <c r="D1583" s="31">
        <v>2846.06</v>
      </c>
      <c r="E1583" s="28">
        <f t="shared" si="33"/>
        <v>3.01144965504564E-2</v>
      </c>
    </row>
    <row r="1584" spans="1:5">
      <c r="A1584" s="30">
        <v>43936</v>
      </c>
      <c r="B1584" s="28">
        <v>69.351119999999995</v>
      </c>
      <c r="C1584" s="28">
        <f t="shared" si="33"/>
        <v>-9.1695065966869663E-3</v>
      </c>
      <c r="D1584" s="31">
        <v>2783.36</v>
      </c>
      <c r="E1584" s="28">
        <f t="shared" si="33"/>
        <v>-2.2276750679012372E-2</v>
      </c>
    </row>
    <row r="1585" spans="1:5">
      <c r="A1585" s="30">
        <v>43937</v>
      </c>
      <c r="B1585" s="28">
        <v>69.902168000000003</v>
      </c>
      <c r="C1585" s="28">
        <f t="shared" si="33"/>
        <v>7.9143679011712612E-3</v>
      </c>
      <c r="D1585" s="31">
        <v>2799.55</v>
      </c>
      <c r="E1585" s="28">
        <f t="shared" si="33"/>
        <v>5.7998589924373595E-3</v>
      </c>
    </row>
    <row r="1586" spans="1:5">
      <c r="A1586" s="30">
        <v>43938</v>
      </c>
      <c r="B1586" s="28">
        <v>68.953682000000001</v>
      </c>
      <c r="C1586" s="28">
        <f t="shared" si="33"/>
        <v>-1.3661660666797592E-2</v>
      </c>
      <c r="D1586" s="31">
        <v>2874.56</v>
      </c>
      <c r="E1586" s="28">
        <f t="shared" si="33"/>
        <v>2.6440929079185473E-2</v>
      </c>
    </row>
    <row r="1587" spans="1:5">
      <c r="A1587" s="30">
        <v>43941</v>
      </c>
      <c r="B1587" s="28">
        <v>67.522437999999994</v>
      </c>
      <c r="C1587" s="28">
        <f t="shared" si="33"/>
        <v>-2.0975046373020684E-2</v>
      </c>
      <c r="D1587" s="31">
        <v>2823.16</v>
      </c>
      <c r="E1587" s="28">
        <f t="shared" si="33"/>
        <v>-1.8042794099790368E-2</v>
      </c>
    </row>
    <row r="1588" spans="1:5">
      <c r="A1588" s="30">
        <v>43942</v>
      </c>
      <c r="B1588" s="28">
        <v>65.435303000000005</v>
      </c>
      <c r="C1588" s="28">
        <f t="shared" si="33"/>
        <v>-3.1398043409611928E-2</v>
      </c>
      <c r="D1588" s="31">
        <v>2736.56</v>
      </c>
      <c r="E1588" s="28">
        <f t="shared" si="33"/>
        <v>-3.1155167779795462E-2</v>
      </c>
    </row>
    <row r="1589" spans="1:5">
      <c r="A1589" s="30">
        <v>43943</v>
      </c>
      <c r="B1589" s="28">
        <v>67.320060999999995</v>
      </c>
      <c r="C1589" s="28">
        <f t="shared" si="33"/>
        <v>2.8396361396095325E-2</v>
      </c>
      <c r="D1589" s="31">
        <v>2799.31</v>
      </c>
      <c r="E1589" s="28">
        <f t="shared" si="33"/>
        <v>2.2671301062101197E-2</v>
      </c>
    </row>
    <row r="1590" spans="1:5">
      <c r="A1590" s="30">
        <v>43944</v>
      </c>
      <c r="B1590" s="28">
        <v>67.059166000000005</v>
      </c>
      <c r="C1590" s="28">
        <f t="shared" si="33"/>
        <v>-3.8829711053902137E-3</v>
      </c>
      <c r="D1590" s="31">
        <v>2797.8</v>
      </c>
      <c r="E1590" s="28">
        <f t="shared" si="33"/>
        <v>-5.395641810268519E-4</v>
      </c>
    </row>
    <row r="1591" spans="1:5">
      <c r="A1591" s="30">
        <v>43945</v>
      </c>
      <c r="B1591" s="28">
        <v>68.995131999999998</v>
      </c>
      <c r="C1591" s="28">
        <f t="shared" si="33"/>
        <v>2.846064704697391E-2</v>
      </c>
      <c r="D1591" s="31">
        <v>2836.74</v>
      </c>
      <c r="E1591" s="28">
        <f t="shared" si="33"/>
        <v>1.3822111461719605E-2</v>
      </c>
    </row>
    <row r="1592" spans="1:5">
      <c r="A1592" s="30">
        <v>43948</v>
      </c>
      <c r="B1592" s="28">
        <v>69.043892</v>
      </c>
      <c r="C1592" s="28">
        <f t="shared" si="33"/>
        <v>7.0646691949941757E-4</v>
      </c>
      <c r="D1592" s="31">
        <v>2878.48</v>
      </c>
      <c r="E1592" s="28">
        <f t="shared" si="33"/>
        <v>1.4606871524449172E-2</v>
      </c>
    </row>
    <row r="1593" spans="1:5">
      <c r="A1593" s="30">
        <v>43949</v>
      </c>
      <c r="B1593" s="28">
        <v>67.924744000000004</v>
      </c>
      <c r="C1593" s="28">
        <f t="shared" si="33"/>
        <v>-1.6342031860708612E-2</v>
      </c>
      <c r="D1593" s="31">
        <v>2863.39</v>
      </c>
      <c r="E1593" s="28">
        <f t="shared" si="33"/>
        <v>-5.2561394601198371E-3</v>
      </c>
    </row>
    <row r="1594" spans="1:5">
      <c r="A1594" s="30">
        <v>43950</v>
      </c>
      <c r="B1594" s="28">
        <v>70.155745999999994</v>
      </c>
      <c r="C1594" s="28">
        <f t="shared" si="33"/>
        <v>3.2317326943864993E-2</v>
      </c>
      <c r="D1594" s="31">
        <v>2939.51</v>
      </c>
      <c r="E1594" s="28">
        <f t="shared" si="33"/>
        <v>2.6236663207249239E-2</v>
      </c>
    </row>
    <row r="1595" spans="1:5">
      <c r="A1595" s="30">
        <v>43951</v>
      </c>
      <c r="B1595" s="28">
        <v>71.635750000000002</v>
      </c>
      <c r="C1595" s="28">
        <f t="shared" si="33"/>
        <v>2.0876537646514527E-2</v>
      </c>
      <c r="D1595" s="31">
        <v>2912.43</v>
      </c>
      <c r="E1595" s="28">
        <f t="shared" si="33"/>
        <v>-9.2551165252656598E-3</v>
      </c>
    </row>
    <row r="1596" spans="1:5">
      <c r="A1596" s="30">
        <v>43952</v>
      </c>
      <c r="B1596" s="28">
        <v>70.482474999999994</v>
      </c>
      <c r="C1596" s="28">
        <f t="shared" si="33"/>
        <v>-1.6230153676550573E-2</v>
      </c>
      <c r="D1596" s="31">
        <v>2830.71</v>
      </c>
      <c r="E1596" s="28">
        <f t="shared" si="33"/>
        <v>-2.8460220686828817E-2</v>
      </c>
    </row>
    <row r="1597" spans="1:5">
      <c r="A1597" s="30">
        <v>43955</v>
      </c>
      <c r="B1597" s="28">
        <v>71.479720999999998</v>
      </c>
      <c r="C1597" s="28">
        <f t="shared" si="33"/>
        <v>1.4049689737484428E-2</v>
      </c>
      <c r="D1597" s="31">
        <v>2842.74</v>
      </c>
      <c r="E1597" s="28">
        <f t="shared" si="33"/>
        <v>4.2408122145938705E-3</v>
      </c>
    </row>
    <row r="1598" spans="1:5">
      <c r="A1598" s="30">
        <v>43956</v>
      </c>
      <c r="B1598" s="28">
        <v>72.552550999999994</v>
      </c>
      <c r="C1598" s="28">
        <f t="shared" si="33"/>
        <v>1.4897353575394186E-2</v>
      </c>
      <c r="D1598" s="31">
        <v>2868.44</v>
      </c>
      <c r="E1598" s="28">
        <f t="shared" si="33"/>
        <v>8.9999521895380505E-3</v>
      </c>
    </row>
    <row r="1599" spans="1:5">
      <c r="A1599" s="30">
        <v>43957</v>
      </c>
      <c r="B1599" s="28">
        <v>73.301079000000001</v>
      </c>
      <c r="C1599" s="28">
        <f t="shared" si="33"/>
        <v>1.0264188442383863E-2</v>
      </c>
      <c r="D1599" s="31">
        <v>2848.42</v>
      </c>
      <c r="E1599" s="28">
        <f t="shared" si="33"/>
        <v>-7.0038733986003436E-3</v>
      </c>
    </row>
    <row r="1600" spans="1:5">
      <c r="A1600" s="30">
        <v>43958</v>
      </c>
      <c r="B1600" s="28">
        <v>74.059371999999996</v>
      </c>
      <c r="C1600" s="28">
        <f t="shared" si="33"/>
        <v>1.0291766726703969E-2</v>
      </c>
      <c r="D1600" s="31">
        <v>2881.19</v>
      </c>
      <c r="E1600" s="28">
        <f t="shared" si="33"/>
        <v>1.1438948664053582E-2</v>
      </c>
    </row>
    <row r="1601" spans="1:5">
      <c r="A1601" s="30">
        <v>43959</v>
      </c>
      <c r="B1601" s="28">
        <v>75.822120999999996</v>
      </c>
      <c r="C1601" s="28">
        <f t="shared" si="33"/>
        <v>2.3522988007832174E-2</v>
      </c>
      <c r="D1601" s="31">
        <v>2929.8</v>
      </c>
      <c r="E1601" s="28">
        <f t="shared" si="33"/>
        <v>1.6730758062550522E-2</v>
      </c>
    </row>
    <row r="1602" spans="1:5">
      <c r="A1602" s="30">
        <v>43962</v>
      </c>
      <c r="B1602" s="28">
        <v>77.015197999999998</v>
      </c>
      <c r="C1602" s="28">
        <f t="shared" si="33"/>
        <v>1.5612695154637021E-2</v>
      </c>
      <c r="D1602" s="31">
        <v>2930.19</v>
      </c>
      <c r="E1602" s="28">
        <f t="shared" si="33"/>
        <v>1.3310602938770966E-4</v>
      </c>
    </row>
    <row r="1603" spans="1:5">
      <c r="A1603" s="30">
        <v>43963</v>
      </c>
      <c r="B1603" s="28">
        <v>76.135063000000002</v>
      </c>
      <c r="C1603" s="28">
        <f t="shared" si="33"/>
        <v>-1.1493871230996974E-2</v>
      </c>
      <c r="D1603" s="31">
        <v>2870.12</v>
      </c>
      <c r="E1603" s="28">
        <f t="shared" si="33"/>
        <v>-2.0713426598791537E-2</v>
      </c>
    </row>
    <row r="1604" spans="1:5">
      <c r="A1604" s="30">
        <v>43964</v>
      </c>
      <c r="B1604" s="28">
        <v>75.215782000000004</v>
      </c>
      <c r="C1604" s="28">
        <f t="shared" si="33"/>
        <v>-1.2147831811792423E-2</v>
      </c>
      <c r="D1604" s="31">
        <v>2820</v>
      </c>
      <c r="E1604" s="28">
        <f t="shared" si="33"/>
        <v>-1.7616955794106534E-2</v>
      </c>
    </row>
    <row r="1605" spans="1:5">
      <c r="A1605" s="30">
        <v>43965</v>
      </c>
      <c r="B1605" s="28">
        <v>75.677871999999994</v>
      </c>
      <c r="C1605" s="28">
        <f t="shared" ref="C1605:E1668" si="34">LN(B1605/B1604)</f>
        <v>6.1247299969905897E-3</v>
      </c>
      <c r="D1605" s="31">
        <v>2852.5</v>
      </c>
      <c r="E1605" s="28">
        <f t="shared" si="34"/>
        <v>1.1458917804071491E-2</v>
      </c>
    </row>
    <row r="1606" spans="1:5">
      <c r="A1606" s="30">
        <v>43966</v>
      </c>
      <c r="B1606" s="28">
        <v>75.230461000000005</v>
      </c>
      <c r="C1606" s="28">
        <f t="shared" si="34"/>
        <v>-5.9295905271856183E-3</v>
      </c>
      <c r="D1606" s="31">
        <v>2863.7</v>
      </c>
      <c r="E1606" s="28">
        <f t="shared" si="34"/>
        <v>3.9186922544353266E-3</v>
      </c>
    </row>
    <row r="1607" spans="1:5">
      <c r="A1607" s="30">
        <v>43969</v>
      </c>
      <c r="B1607" s="28">
        <v>77.002990999999994</v>
      </c>
      <c r="C1607" s="28">
        <f t="shared" si="34"/>
        <v>2.3288049827240226E-2</v>
      </c>
      <c r="D1607" s="31">
        <v>2953.91</v>
      </c>
      <c r="E1607" s="28">
        <f t="shared" si="34"/>
        <v>3.1015221473356874E-2</v>
      </c>
    </row>
    <row r="1608" spans="1:5">
      <c r="A1608" s="30">
        <v>43970</v>
      </c>
      <c r="B1608" s="28">
        <v>76.558014</v>
      </c>
      <c r="C1608" s="28">
        <f t="shared" si="34"/>
        <v>-5.7954588857449122E-3</v>
      </c>
      <c r="D1608" s="31">
        <v>2922.94</v>
      </c>
      <c r="E1608" s="28">
        <f t="shared" si="34"/>
        <v>-1.0539757419425795E-2</v>
      </c>
    </row>
    <row r="1609" spans="1:5">
      <c r="A1609" s="30">
        <v>43971</v>
      </c>
      <c r="B1609" s="28">
        <v>78.046936000000002</v>
      </c>
      <c r="C1609" s="28">
        <f t="shared" si="34"/>
        <v>1.9261582934889814E-2</v>
      </c>
      <c r="D1609" s="31">
        <v>2971.61</v>
      </c>
      <c r="E1609" s="28">
        <f t="shared" si="34"/>
        <v>1.6513934417861521E-2</v>
      </c>
    </row>
    <row r="1610" spans="1:5">
      <c r="A1610" s="30">
        <v>43972</v>
      </c>
      <c r="B1610" s="28">
        <v>77.465057000000002</v>
      </c>
      <c r="C1610" s="28">
        <f t="shared" si="34"/>
        <v>-7.4834320400987185E-3</v>
      </c>
      <c r="D1610" s="31">
        <v>2948.51</v>
      </c>
      <c r="E1610" s="28">
        <f t="shared" si="34"/>
        <v>-7.803935472623133E-3</v>
      </c>
    </row>
    <row r="1611" spans="1:5">
      <c r="A1611" s="30">
        <v>43973</v>
      </c>
      <c r="B1611" s="28">
        <v>77.963806000000005</v>
      </c>
      <c r="C1611" s="28">
        <f t="shared" si="34"/>
        <v>6.4177360911926414E-3</v>
      </c>
      <c r="D1611" s="31">
        <v>2955.45</v>
      </c>
      <c r="E1611" s="28">
        <f t="shared" si="34"/>
        <v>2.3509655202508628E-3</v>
      </c>
    </row>
    <row r="1612" spans="1:5">
      <c r="A1612" s="30">
        <v>43977</v>
      </c>
      <c r="B1612" s="28">
        <v>77.435706999999994</v>
      </c>
      <c r="C1612" s="28">
        <f t="shared" si="34"/>
        <v>-6.7966883906304927E-3</v>
      </c>
      <c r="D1612" s="31">
        <v>2991.77</v>
      </c>
      <c r="E1612" s="28">
        <f t="shared" si="34"/>
        <v>1.2214261971750162E-2</v>
      </c>
    </row>
    <row r="1613" spans="1:5">
      <c r="A1613" s="30">
        <v>43978</v>
      </c>
      <c r="B1613" s="28">
        <v>77.773109000000005</v>
      </c>
      <c r="C1613" s="28">
        <f t="shared" si="34"/>
        <v>4.3477237979055033E-3</v>
      </c>
      <c r="D1613" s="31">
        <v>3036.13</v>
      </c>
      <c r="E1613" s="28">
        <f t="shared" si="34"/>
        <v>1.4718492616296689E-2</v>
      </c>
    </row>
    <row r="1614" spans="1:5">
      <c r="A1614" s="30">
        <v>43979</v>
      </c>
      <c r="B1614" s="28">
        <v>77.807343000000003</v>
      </c>
      <c r="C1614" s="28">
        <f t="shared" si="34"/>
        <v>4.4008100133960675E-4</v>
      </c>
      <c r="D1614" s="31">
        <v>3029.73</v>
      </c>
      <c r="E1614" s="28">
        <f t="shared" si="34"/>
        <v>-2.1101714760443074E-3</v>
      </c>
    </row>
    <row r="1615" spans="1:5">
      <c r="A1615" s="30">
        <v>43980</v>
      </c>
      <c r="B1615" s="28">
        <v>77.731551999999994</v>
      </c>
      <c r="C1615" s="28">
        <f t="shared" si="34"/>
        <v>-9.7456017028612393E-4</v>
      </c>
      <c r="D1615" s="31">
        <v>3044.31</v>
      </c>
      <c r="E1615" s="28">
        <f t="shared" si="34"/>
        <v>4.8007678588045241E-3</v>
      </c>
    </row>
    <row r="1616" spans="1:5">
      <c r="A1616" s="30">
        <v>43983</v>
      </c>
      <c r="B1616" s="28">
        <v>78.687484999999995</v>
      </c>
      <c r="C1616" s="28">
        <f t="shared" si="34"/>
        <v>1.2222871583384916E-2</v>
      </c>
      <c r="D1616" s="31">
        <v>3055.73</v>
      </c>
      <c r="E1616" s="28">
        <f t="shared" si="34"/>
        <v>3.744242117017055E-3</v>
      </c>
    </row>
    <row r="1617" spans="1:5">
      <c r="A1617" s="30">
        <v>43984</v>
      </c>
      <c r="B1617" s="28">
        <v>79.051758000000007</v>
      </c>
      <c r="C1617" s="28">
        <f t="shared" si="34"/>
        <v>4.618681320314762E-3</v>
      </c>
      <c r="D1617" s="31">
        <v>3080.82</v>
      </c>
      <c r="E1617" s="28">
        <f t="shared" si="34"/>
        <v>8.177278702023465E-3</v>
      </c>
    </row>
    <row r="1618" spans="1:5">
      <c r="A1618" s="30">
        <v>43985</v>
      </c>
      <c r="B1618" s="28">
        <v>79.486937999999995</v>
      </c>
      <c r="C1618" s="28">
        <f t="shared" si="34"/>
        <v>5.4899037770798258E-3</v>
      </c>
      <c r="D1618" s="31">
        <v>3122.87</v>
      </c>
      <c r="E1618" s="28">
        <f t="shared" si="34"/>
        <v>1.3556655475681826E-2</v>
      </c>
    </row>
    <row r="1619" spans="1:5">
      <c r="A1619" s="30">
        <v>43986</v>
      </c>
      <c r="B1619" s="28">
        <v>78.802391</v>
      </c>
      <c r="C1619" s="28">
        <f t="shared" si="34"/>
        <v>-8.6493672313613136E-3</v>
      </c>
      <c r="D1619" s="31">
        <v>3112.35</v>
      </c>
      <c r="E1619" s="28">
        <f t="shared" si="34"/>
        <v>-3.3743829350457951E-3</v>
      </c>
    </row>
    <row r="1620" spans="1:5">
      <c r="A1620" s="30">
        <v>43987</v>
      </c>
      <c r="B1620" s="28">
        <v>81.046752999999995</v>
      </c>
      <c r="C1620" s="28">
        <f t="shared" si="34"/>
        <v>2.8082846645780743E-2</v>
      </c>
      <c r="D1620" s="31">
        <v>3193.93</v>
      </c>
      <c r="E1620" s="28">
        <f t="shared" si="34"/>
        <v>2.5874065601552972E-2</v>
      </c>
    </row>
    <row r="1621" spans="1:5">
      <c r="A1621" s="30">
        <v>43990</v>
      </c>
      <c r="B1621" s="28">
        <v>81.525940000000006</v>
      </c>
      <c r="C1621" s="28">
        <f t="shared" si="34"/>
        <v>5.895066125489545E-3</v>
      </c>
      <c r="D1621" s="31">
        <v>3232.39</v>
      </c>
      <c r="E1621" s="28">
        <f t="shared" si="34"/>
        <v>1.1969668235859062E-2</v>
      </c>
    </row>
    <row r="1622" spans="1:5">
      <c r="A1622" s="30">
        <v>43991</v>
      </c>
      <c r="B1622" s="28">
        <v>84.100364999999996</v>
      </c>
      <c r="C1622" s="28">
        <f t="shared" si="34"/>
        <v>3.1089655226458863E-2</v>
      </c>
      <c r="D1622" s="31">
        <v>3207.18</v>
      </c>
      <c r="E1622" s="28">
        <f t="shared" si="34"/>
        <v>-7.8297553381980623E-3</v>
      </c>
    </row>
    <row r="1623" spans="1:5">
      <c r="A1623" s="30">
        <v>43992</v>
      </c>
      <c r="B1623" s="28">
        <v>86.264053000000004</v>
      </c>
      <c r="C1623" s="28">
        <f t="shared" si="34"/>
        <v>2.5402068931780743E-2</v>
      </c>
      <c r="D1623" s="31">
        <v>3190.14</v>
      </c>
      <c r="E1623" s="28">
        <f t="shared" si="34"/>
        <v>-5.3272433765708446E-3</v>
      </c>
    </row>
    <row r="1624" spans="1:5">
      <c r="A1624" s="30">
        <v>43993</v>
      </c>
      <c r="B1624" s="28">
        <v>82.122489999999999</v>
      </c>
      <c r="C1624" s="28">
        <f t="shared" si="34"/>
        <v>-4.9201062800802671E-2</v>
      </c>
      <c r="D1624" s="31">
        <v>3002.1</v>
      </c>
      <c r="E1624" s="28">
        <f t="shared" si="34"/>
        <v>-6.0752759198692892E-2</v>
      </c>
    </row>
    <row r="1625" spans="1:5">
      <c r="A1625" s="30">
        <v>43994</v>
      </c>
      <c r="B1625" s="28">
        <v>82.831496999999999</v>
      </c>
      <c r="C1625" s="28">
        <f t="shared" si="34"/>
        <v>8.5964744369470322E-3</v>
      </c>
      <c r="D1625" s="31">
        <v>3041.31</v>
      </c>
      <c r="E1625" s="28">
        <f t="shared" si="34"/>
        <v>1.2976299868566436E-2</v>
      </c>
    </row>
    <row r="1626" spans="1:5">
      <c r="A1626" s="30">
        <v>43997</v>
      </c>
      <c r="B1626" s="28">
        <v>83.855887999999993</v>
      </c>
      <c r="C1626" s="28">
        <f t="shared" si="34"/>
        <v>1.2291318827192805E-2</v>
      </c>
      <c r="D1626" s="31">
        <v>3066.59</v>
      </c>
      <c r="E1626" s="28">
        <f t="shared" si="34"/>
        <v>8.277851423430304E-3</v>
      </c>
    </row>
    <row r="1627" spans="1:5">
      <c r="A1627" s="30">
        <v>43998</v>
      </c>
      <c r="B1627" s="28">
        <v>86.078261999999995</v>
      </c>
      <c r="C1627" s="28">
        <f t="shared" si="34"/>
        <v>2.6157199253251141E-2</v>
      </c>
      <c r="D1627" s="31">
        <v>3124.74</v>
      </c>
      <c r="E1627" s="28">
        <f t="shared" si="34"/>
        <v>1.878488465267299E-2</v>
      </c>
    </row>
    <row r="1628" spans="1:5">
      <c r="A1628" s="30">
        <v>43999</v>
      </c>
      <c r="B1628" s="28">
        <v>85.958457999999993</v>
      </c>
      <c r="C1628" s="28">
        <f t="shared" si="34"/>
        <v>-1.3927726518672557E-3</v>
      </c>
      <c r="D1628" s="31">
        <v>3113.49</v>
      </c>
      <c r="E1628" s="28">
        <f t="shared" si="34"/>
        <v>-3.6067962213368692E-3</v>
      </c>
    </row>
    <row r="1629" spans="1:5">
      <c r="A1629" s="30">
        <v>44000</v>
      </c>
      <c r="B1629" s="28">
        <v>85.992714000000007</v>
      </c>
      <c r="C1629" s="28">
        <f t="shared" si="34"/>
        <v>3.9843869692500765E-4</v>
      </c>
      <c r="D1629" s="31">
        <v>3115.34</v>
      </c>
      <c r="E1629" s="28">
        <f t="shared" si="34"/>
        <v>5.9401205504019245E-4</v>
      </c>
    </row>
    <row r="1630" spans="1:5">
      <c r="A1630" s="30">
        <v>44001</v>
      </c>
      <c r="B1630" s="28">
        <v>85.501273999999995</v>
      </c>
      <c r="C1630" s="28">
        <f t="shared" si="34"/>
        <v>-5.7312953177573811E-3</v>
      </c>
      <c r="D1630" s="31">
        <v>3097.74</v>
      </c>
      <c r="E1630" s="28">
        <f t="shared" si="34"/>
        <v>-5.6654822009647747E-3</v>
      </c>
    </row>
    <row r="1631" spans="1:5">
      <c r="A1631" s="30">
        <v>44004</v>
      </c>
      <c r="B1631" s="28">
        <v>87.738303999999999</v>
      </c>
      <c r="C1631" s="28">
        <f t="shared" si="34"/>
        <v>2.5827289296588792E-2</v>
      </c>
      <c r="D1631" s="31">
        <v>3117.86</v>
      </c>
      <c r="E1631" s="28">
        <f t="shared" si="34"/>
        <v>6.4740556904391263E-3</v>
      </c>
    </row>
    <row r="1632" spans="1:5">
      <c r="A1632" s="30">
        <v>44005</v>
      </c>
      <c r="B1632" s="28">
        <v>89.611046000000002</v>
      </c>
      <c r="C1632" s="28">
        <f t="shared" si="34"/>
        <v>2.1120027919290008E-2</v>
      </c>
      <c r="D1632" s="31">
        <v>3131.29</v>
      </c>
      <c r="E1632" s="28">
        <f t="shared" si="34"/>
        <v>4.2981911703125365E-3</v>
      </c>
    </row>
    <row r="1633" spans="1:5">
      <c r="A1633" s="30">
        <v>44006</v>
      </c>
      <c r="B1633" s="28">
        <v>88.029242999999994</v>
      </c>
      <c r="C1633" s="28">
        <f t="shared" si="34"/>
        <v>-1.7809527537669508E-2</v>
      </c>
      <c r="D1633" s="31">
        <v>3050.33</v>
      </c>
      <c r="E1633" s="28">
        <f t="shared" si="34"/>
        <v>-2.6195278732754491E-2</v>
      </c>
    </row>
    <row r="1634" spans="1:5">
      <c r="A1634" s="30">
        <v>44007</v>
      </c>
      <c r="B1634" s="28">
        <v>89.197875999999994</v>
      </c>
      <c r="C1634" s="28">
        <f t="shared" si="34"/>
        <v>1.3188161548562297E-2</v>
      </c>
      <c r="D1634" s="31">
        <v>3083.76</v>
      </c>
      <c r="E1634" s="28">
        <f t="shared" si="34"/>
        <v>1.0899850173409288E-2</v>
      </c>
    </row>
    <row r="1635" spans="1:5">
      <c r="A1635" s="30">
        <v>44008</v>
      </c>
      <c r="B1635" s="28">
        <v>86.457213999999993</v>
      </c>
      <c r="C1635" s="28">
        <f t="shared" si="34"/>
        <v>-3.120757191624661E-2</v>
      </c>
      <c r="D1635" s="31">
        <v>3009.05</v>
      </c>
      <c r="E1635" s="28">
        <f t="shared" si="34"/>
        <v>-2.4525217335129464E-2</v>
      </c>
    </row>
    <row r="1636" spans="1:5">
      <c r="A1636" s="30">
        <v>44011</v>
      </c>
      <c r="B1636" s="28">
        <v>88.449768000000006</v>
      </c>
      <c r="C1636" s="28">
        <f t="shared" si="34"/>
        <v>2.2785141924512583E-2</v>
      </c>
      <c r="D1636" s="31">
        <v>3053.24</v>
      </c>
      <c r="E1636" s="28">
        <f t="shared" si="34"/>
        <v>1.4578907539069857E-2</v>
      </c>
    </row>
    <row r="1637" spans="1:5">
      <c r="A1637" s="30">
        <v>44012</v>
      </c>
      <c r="B1637" s="28">
        <v>89.188109999999995</v>
      </c>
      <c r="C1637" s="28">
        <f t="shared" si="34"/>
        <v>8.312937085606837E-3</v>
      </c>
      <c r="D1637" s="31">
        <v>3100.29</v>
      </c>
      <c r="E1637" s="28">
        <f t="shared" si="34"/>
        <v>1.529233363768146E-2</v>
      </c>
    </row>
    <row r="1638" spans="1:5">
      <c r="A1638" s="30">
        <v>44013</v>
      </c>
      <c r="B1638" s="28">
        <v>89.019408999999996</v>
      </c>
      <c r="C1638" s="28">
        <f t="shared" si="34"/>
        <v>-1.8933101290089195E-3</v>
      </c>
      <c r="D1638" s="31">
        <v>3115.86</v>
      </c>
      <c r="E1638" s="28">
        <f t="shared" si="34"/>
        <v>5.0095420996641308E-3</v>
      </c>
    </row>
    <row r="1639" spans="1:5">
      <c r="A1639" s="30">
        <v>44014</v>
      </c>
      <c r="B1639" s="28">
        <v>89.019408999999996</v>
      </c>
      <c r="C1639" s="28">
        <f t="shared" si="34"/>
        <v>0</v>
      </c>
      <c r="D1639" s="31">
        <v>3130.01</v>
      </c>
      <c r="E1639" s="28">
        <f t="shared" si="34"/>
        <v>4.5310018326532803E-3</v>
      </c>
    </row>
    <row r="1640" spans="1:5">
      <c r="A1640" s="30">
        <v>44018</v>
      </c>
      <c r="B1640" s="28">
        <v>91.400695999999996</v>
      </c>
      <c r="C1640" s="28">
        <f t="shared" si="34"/>
        <v>2.6398668702628515E-2</v>
      </c>
      <c r="D1640" s="31">
        <v>3179.72</v>
      </c>
      <c r="E1640" s="28">
        <f t="shared" si="34"/>
        <v>1.5756943165826313E-2</v>
      </c>
    </row>
    <row r="1641" spans="1:5">
      <c r="A1641" s="30">
        <v>44019</v>
      </c>
      <c r="B1641" s="28">
        <v>91.117096000000004</v>
      </c>
      <c r="C1641" s="28">
        <f t="shared" si="34"/>
        <v>-3.1076447411529499E-3</v>
      </c>
      <c r="D1641" s="31">
        <v>3145.32</v>
      </c>
      <c r="E1641" s="28">
        <f t="shared" si="34"/>
        <v>-1.0877508816987262E-2</v>
      </c>
    </row>
    <row r="1642" spans="1:5">
      <c r="A1642" s="30">
        <v>44020</v>
      </c>
      <c r="B1642" s="28">
        <v>93.239227</v>
      </c>
      <c r="C1642" s="28">
        <f t="shared" si="34"/>
        <v>2.3023075130291979E-2</v>
      </c>
      <c r="D1642" s="31">
        <v>3169.94</v>
      </c>
      <c r="E1642" s="28">
        <f t="shared" si="34"/>
        <v>7.7970264812917862E-3</v>
      </c>
    </row>
    <row r="1643" spans="1:5">
      <c r="A1643" s="30">
        <v>44021</v>
      </c>
      <c r="B1643" s="28">
        <v>93.640190000000004</v>
      </c>
      <c r="C1643" s="28">
        <f t="shared" si="34"/>
        <v>4.2911479681670053E-3</v>
      </c>
      <c r="D1643" s="31">
        <v>3152.05</v>
      </c>
      <c r="E1643" s="28">
        <f t="shared" si="34"/>
        <v>-5.6596254512879147E-3</v>
      </c>
    </row>
    <row r="1644" spans="1:5">
      <c r="A1644" s="30">
        <v>44022</v>
      </c>
      <c r="B1644" s="28">
        <v>93.803978000000001</v>
      </c>
      <c r="C1644" s="28">
        <f t="shared" si="34"/>
        <v>1.7475928265225395E-3</v>
      </c>
      <c r="D1644" s="31">
        <v>3185.04</v>
      </c>
      <c r="E1644" s="28">
        <f t="shared" si="34"/>
        <v>1.0411813000986475E-2</v>
      </c>
    </row>
    <row r="1645" spans="1:5">
      <c r="A1645" s="30">
        <v>44025</v>
      </c>
      <c r="B1645" s="28">
        <v>93.371245999999999</v>
      </c>
      <c r="C1645" s="28">
        <f t="shared" si="34"/>
        <v>-4.6238253303789957E-3</v>
      </c>
      <c r="D1645" s="31">
        <v>3155.22</v>
      </c>
      <c r="E1645" s="28">
        <f t="shared" si="34"/>
        <v>-9.4066236664834702E-3</v>
      </c>
    </row>
    <row r="1646" spans="1:5">
      <c r="A1646" s="30">
        <v>44026</v>
      </c>
      <c r="B1646" s="28">
        <v>94.916388999999995</v>
      </c>
      <c r="C1646" s="28">
        <f t="shared" si="34"/>
        <v>1.6412949117557724E-2</v>
      </c>
      <c r="D1646" s="31">
        <v>3197.52</v>
      </c>
      <c r="E1646" s="28">
        <f t="shared" si="34"/>
        <v>1.3317285189446137E-2</v>
      </c>
    </row>
    <row r="1647" spans="1:5">
      <c r="A1647" s="30">
        <v>44027</v>
      </c>
      <c r="B1647" s="28">
        <v>95.569168000000005</v>
      </c>
      <c r="C1647" s="28">
        <f t="shared" si="34"/>
        <v>6.8538692976530726E-3</v>
      </c>
      <c r="D1647" s="31">
        <v>3226.56</v>
      </c>
      <c r="E1647" s="28">
        <f t="shared" si="34"/>
        <v>9.0410448847842075E-3</v>
      </c>
    </row>
    <row r="1648" spans="1:5">
      <c r="A1648" s="30">
        <v>44028</v>
      </c>
      <c r="B1648" s="28">
        <v>94.393187999999995</v>
      </c>
      <c r="C1648" s="28">
        <f t="shared" si="34"/>
        <v>-1.2381348048647331E-2</v>
      </c>
      <c r="D1648" s="31">
        <v>3215.57</v>
      </c>
      <c r="E1648" s="28">
        <f t="shared" si="34"/>
        <v>-3.4119183131618158E-3</v>
      </c>
    </row>
    <row r="1649" spans="1:5">
      <c r="A1649" s="30">
        <v>44029</v>
      </c>
      <c r="B1649" s="28">
        <v>94.202492000000007</v>
      </c>
      <c r="C1649" s="28">
        <f t="shared" si="34"/>
        <v>-2.0222739459255616E-3</v>
      </c>
      <c r="D1649" s="31">
        <v>3224.73</v>
      </c>
      <c r="E1649" s="28">
        <f t="shared" si="34"/>
        <v>2.8445899031588197E-3</v>
      </c>
    </row>
    <row r="1650" spans="1:5">
      <c r="A1650" s="30">
        <v>44032</v>
      </c>
      <c r="B1650" s="28">
        <v>96.187720999999996</v>
      </c>
      <c r="C1650" s="28">
        <f t="shared" si="34"/>
        <v>2.0855073607451088E-2</v>
      </c>
      <c r="D1650" s="31">
        <v>3251.84</v>
      </c>
      <c r="E1650" s="28">
        <f t="shared" si="34"/>
        <v>8.3717641704647815E-3</v>
      </c>
    </row>
    <row r="1651" spans="1:5">
      <c r="A1651" s="30">
        <v>44033</v>
      </c>
      <c r="B1651" s="28">
        <v>94.860161000000005</v>
      </c>
      <c r="C1651" s="28">
        <f t="shared" si="34"/>
        <v>-1.389789150626956E-2</v>
      </c>
      <c r="D1651" s="31">
        <v>3257.3</v>
      </c>
      <c r="E1651" s="28">
        <f t="shared" si="34"/>
        <v>1.6776413721593887E-3</v>
      </c>
    </row>
    <row r="1652" spans="1:5">
      <c r="A1652" s="30">
        <v>44034</v>
      </c>
      <c r="B1652" s="28">
        <v>95.126655999999997</v>
      </c>
      <c r="C1652" s="28">
        <f t="shared" si="34"/>
        <v>2.8054070170892647E-3</v>
      </c>
      <c r="D1652" s="31">
        <v>3276.02</v>
      </c>
      <c r="E1652" s="28">
        <f t="shared" si="34"/>
        <v>5.7306396229577271E-3</v>
      </c>
    </row>
    <row r="1653" spans="1:5">
      <c r="A1653" s="30">
        <v>44035</v>
      </c>
      <c r="B1653" s="28">
        <v>90.796813999999998</v>
      </c>
      <c r="C1653" s="28">
        <f t="shared" si="34"/>
        <v>-4.6585027817200954E-2</v>
      </c>
      <c r="D1653" s="31">
        <v>3235.66</v>
      </c>
      <c r="E1653" s="28">
        <f t="shared" si="34"/>
        <v>-1.2396345287241563E-2</v>
      </c>
    </row>
    <row r="1654" spans="1:5">
      <c r="A1654" s="30">
        <v>44036</v>
      </c>
      <c r="B1654" s="28">
        <v>90.571883999999997</v>
      </c>
      <c r="C1654" s="28">
        <f t="shared" si="34"/>
        <v>-2.4803631254812337E-3</v>
      </c>
      <c r="D1654" s="31">
        <v>3215.63</v>
      </c>
      <c r="E1654" s="28">
        <f t="shared" si="34"/>
        <v>-6.2096307443050324E-3</v>
      </c>
    </row>
    <row r="1655" spans="1:5">
      <c r="A1655" s="30">
        <v>44039</v>
      </c>
      <c r="B1655" s="28">
        <v>92.718474999999998</v>
      </c>
      <c r="C1655" s="28">
        <f t="shared" si="34"/>
        <v>2.3423917767378292E-2</v>
      </c>
      <c r="D1655" s="31">
        <v>3239.41</v>
      </c>
      <c r="E1655" s="28">
        <f t="shared" si="34"/>
        <v>7.3679195100667611E-3</v>
      </c>
    </row>
    <row r="1656" spans="1:5">
      <c r="A1656" s="30">
        <v>44040</v>
      </c>
      <c r="B1656" s="28">
        <v>91.195335</v>
      </c>
      <c r="C1656" s="28">
        <f t="shared" si="34"/>
        <v>-1.656400707159263E-2</v>
      </c>
      <c r="D1656" s="31">
        <v>3218.44</v>
      </c>
      <c r="E1656" s="28">
        <f t="shared" si="34"/>
        <v>-6.4944443446863422E-3</v>
      </c>
    </row>
    <row r="1657" spans="1:5">
      <c r="A1657" s="30">
        <v>44041</v>
      </c>
      <c r="B1657" s="28">
        <v>92.943404999999998</v>
      </c>
      <c r="C1657" s="28">
        <f t="shared" si="34"/>
        <v>1.8987015069210619E-2</v>
      </c>
      <c r="D1657" s="31">
        <v>3258.44</v>
      </c>
      <c r="E1657" s="28">
        <f t="shared" si="34"/>
        <v>1.2351783128253628E-2</v>
      </c>
    </row>
    <row r="1658" spans="1:5">
      <c r="A1658" s="30">
        <v>44042</v>
      </c>
      <c r="B1658" s="28">
        <v>94.068023999999994</v>
      </c>
      <c r="C1658" s="28">
        <f t="shared" si="34"/>
        <v>1.2027420603702774E-2</v>
      </c>
      <c r="D1658" s="31">
        <v>3246.22</v>
      </c>
      <c r="E1658" s="28">
        <f t="shared" si="34"/>
        <v>-3.7573107206831397E-3</v>
      </c>
    </row>
    <row r="1659" spans="1:5">
      <c r="A1659" s="30">
        <v>44043</v>
      </c>
      <c r="B1659" s="28">
        <v>103.915886</v>
      </c>
      <c r="C1659" s="28">
        <f t="shared" si="34"/>
        <v>9.9563603304849688E-2</v>
      </c>
      <c r="D1659" s="31">
        <v>3271.12</v>
      </c>
      <c r="E1659" s="28">
        <f t="shared" si="34"/>
        <v>7.6411913923716676E-3</v>
      </c>
    </row>
    <row r="1660" spans="1:5">
      <c r="A1660" s="30">
        <v>44046</v>
      </c>
      <c r="B1660" s="28">
        <v>106.53430899999999</v>
      </c>
      <c r="C1660" s="28">
        <f t="shared" si="34"/>
        <v>2.4885300070990247E-2</v>
      </c>
      <c r="D1660" s="31">
        <v>3294.61</v>
      </c>
      <c r="E1660" s="28">
        <f t="shared" si="34"/>
        <v>7.1553658839056062E-3</v>
      </c>
    </row>
    <row r="1661" spans="1:5">
      <c r="A1661" s="30">
        <v>44047</v>
      </c>
      <c r="B1661" s="28">
        <v>107.24578099999999</v>
      </c>
      <c r="C1661" s="28">
        <f t="shared" si="34"/>
        <v>6.6561355340528415E-3</v>
      </c>
      <c r="D1661" s="31">
        <v>3306.51</v>
      </c>
      <c r="E1661" s="28">
        <f t="shared" si="34"/>
        <v>3.6054526780178501E-3</v>
      </c>
    </row>
    <row r="1662" spans="1:5">
      <c r="A1662" s="30">
        <v>44048</v>
      </c>
      <c r="B1662" s="28">
        <v>107.634506</v>
      </c>
      <c r="C1662" s="28">
        <f t="shared" si="34"/>
        <v>3.6180650116768081E-3</v>
      </c>
      <c r="D1662" s="31">
        <v>3327.77</v>
      </c>
      <c r="E1662" s="28">
        <f t="shared" si="34"/>
        <v>6.4091575198012216E-3</v>
      </c>
    </row>
    <row r="1663" spans="1:5">
      <c r="A1663" s="30">
        <v>44049</v>
      </c>
      <c r="B1663" s="28">
        <v>111.389786</v>
      </c>
      <c r="C1663" s="28">
        <f t="shared" si="34"/>
        <v>3.4294351626703405E-2</v>
      </c>
      <c r="D1663" s="31">
        <v>3349.16</v>
      </c>
      <c r="E1663" s="28">
        <f t="shared" si="34"/>
        <v>6.4071581324233757E-3</v>
      </c>
    </row>
    <row r="1664" spans="1:5">
      <c r="A1664" s="30">
        <v>44050</v>
      </c>
      <c r="B1664" s="28">
        <v>108.857254</v>
      </c>
      <c r="C1664" s="28">
        <f t="shared" si="34"/>
        <v>-2.2998208049222306E-2</v>
      </c>
      <c r="D1664" s="31">
        <v>3351.28</v>
      </c>
      <c r="E1664" s="28">
        <f t="shared" si="34"/>
        <v>6.3279428537303944E-4</v>
      </c>
    </row>
    <row r="1665" spans="1:5">
      <c r="A1665" s="30">
        <v>44053</v>
      </c>
      <c r="B1665" s="28">
        <v>110.43948399999999</v>
      </c>
      <c r="C1665" s="28">
        <f t="shared" si="34"/>
        <v>1.4430287202641555E-2</v>
      </c>
      <c r="D1665" s="31">
        <v>3360.47</v>
      </c>
      <c r="E1665" s="28">
        <f t="shared" si="34"/>
        <v>2.7384827334759297E-3</v>
      </c>
    </row>
    <row r="1666" spans="1:5">
      <c r="A1666" s="30">
        <v>44054</v>
      </c>
      <c r="B1666" s="28">
        <v>107.155006</v>
      </c>
      <c r="C1666" s="28">
        <f t="shared" si="34"/>
        <v>-3.0191274450537053E-2</v>
      </c>
      <c r="D1666" s="31">
        <v>3333.69</v>
      </c>
      <c r="E1666" s="28">
        <f t="shared" si="34"/>
        <v>-8.0010465432212886E-3</v>
      </c>
    </row>
    <row r="1667" spans="1:5">
      <c r="A1667" s="30">
        <v>44055</v>
      </c>
      <c r="B1667" s="28">
        <v>110.71623200000001</v>
      </c>
      <c r="C1667" s="28">
        <f t="shared" si="34"/>
        <v>3.2694019118065729E-2</v>
      </c>
      <c r="D1667" s="31">
        <v>3380.35</v>
      </c>
      <c r="E1667" s="28">
        <f t="shared" si="34"/>
        <v>1.3899455827979215E-2</v>
      </c>
    </row>
    <row r="1668" spans="1:5">
      <c r="A1668" s="30">
        <v>44056</v>
      </c>
      <c r="B1668" s="28">
        <v>112.67564400000001</v>
      </c>
      <c r="C1668" s="28">
        <f t="shared" si="34"/>
        <v>1.7542824615604195E-2</v>
      </c>
      <c r="D1668" s="31">
        <v>3373.43</v>
      </c>
      <c r="E1668" s="28">
        <f t="shared" si="34"/>
        <v>-2.0492235227105187E-3</v>
      </c>
    </row>
    <row r="1669" spans="1:5">
      <c r="A1669" s="30">
        <v>44057</v>
      </c>
      <c r="B1669" s="28">
        <v>112.57524100000001</v>
      </c>
      <c r="C1669" s="28">
        <f t="shared" ref="C1669:E1732" si="35">LN(B1669/B1668)</f>
        <v>-8.9147713359221195E-4</v>
      </c>
      <c r="D1669" s="31">
        <v>3372.85</v>
      </c>
      <c r="E1669" s="28">
        <f t="shared" si="35"/>
        <v>-1.7194661396471121E-4</v>
      </c>
    </row>
    <row r="1670" spans="1:5">
      <c r="A1670" s="30">
        <v>44060</v>
      </c>
      <c r="B1670" s="28">
        <v>112.281319</v>
      </c>
      <c r="C1670" s="28">
        <f t="shared" si="35"/>
        <v>-2.6143081385167147E-3</v>
      </c>
      <c r="D1670" s="31">
        <v>3381.99</v>
      </c>
      <c r="E1670" s="28">
        <f t="shared" si="35"/>
        <v>2.7062093485908582E-3</v>
      </c>
    </row>
    <row r="1671" spans="1:5">
      <c r="A1671" s="30">
        <v>44061</v>
      </c>
      <c r="B1671" s="28">
        <v>113.216927</v>
      </c>
      <c r="C1671" s="28">
        <f t="shared" si="35"/>
        <v>8.298187550584436E-3</v>
      </c>
      <c r="D1671" s="31">
        <v>3389.78</v>
      </c>
      <c r="E1671" s="28">
        <f t="shared" si="35"/>
        <v>2.3007288895721292E-3</v>
      </c>
    </row>
    <row r="1672" spans="1:5">
      <c r="A1672" s="30">
        <v>44062</v>
      </c>
      <c r="B1672" s="28">
        <v>113.35897799999999</v>
      </c>
      <c r="C1672" s="28">
        <f t="shared" si="35"/>
        <v>1.2538934235891493E-3</v>
      </c>
      <c r="D1672" s="31">
        <v>3374.85</v>
      </c>
      <c r="E1672" s="28">
        <f t="shared" si="35"/>
        <v>-4.4141436389460408E-3</v>
      </c>
    </row>
    <row r="1673" spans="1:5">
      <c r="A1673" s="30">
        <v>44063</v>
      </c>
      <c r="B1673" s="28">
        <v>115.874374</v>
      </c>
      <c r="C1673" s="28">
        <f t="shared" si="35"/>
        <v>2.1947041682153098E-2</v>
      </c>
      <c r="D1673" s="31">
        <v>3385.51</v>
      </c>
      <c r="E1673" s="28">
        <f t="shared" si="35"/>
        <v>3.1536808202811935E-3</v>
      </c>
    </row>
    <row r="1674" spans="1:5">
      <c r="A1674" s="30">
        <v>44064</v>
      </c>
      <c r="B1674" s="28">
        <v>121.845665</v>
      </c>
      <c r="C1674" s="28">
        <f t="shared" si="35"/>
        <v>5.0248581411657389E-2</v>
      </c>
      <c r="D1674" s="31">
        <v>3397.16</v>
      </c>
      <c r="E1674" s="28">
        <f t="shared" si="35"/>
        <v>3.4352287393030465E-3</v>
      </c>
    </row>
    <row r="1675" spans="1:5">
      <c r="A1675" s="30">
        <v>44067</v>
      </c>
      <c r="B1675" s="28">
        <v>123.302971</v>
      </c>
      <c r="C1675" s="28">
        <f t="shared" si="35"/>
        <v>1.1889302671706082E-2</v>
      </c>
      <c r="D1675" s="31">
        <v>3431.28</v>
      </c>
      <c r="E1675" s="28">
        <f t="shared" si="35"/>
        <v>9.9935809549321058E-3</v>
      </c>
    </row>
    <row r="1676" spans="1:5">
      <c r="A1676" s="30">
        <v>44068</v>
      </c>
      <c r="B1676" s="28">
        <v>122.29142</v>
      </c>
      <c r="C1676" s="28">
        <f t="shared" si="35"/>
        <v>-8.2376207051009804E-3</v>
      </c>
      <c r="D1676" s="31">
        <v>3443.62</v>
      </c>
      <c r="E1676" s="28">
        <f t="shared" si="35"/>
        <v>3.58987425339455E-3</v>
      </c>
    </row>
    <row r="1677" spans="1:5">
      <c r="A1677" s="30">
        <v>44069</v>
      </c>
      <c r="B1677" s="28">
        <v>123.95446800000001</v>
      </c>
      <c r="C1677" s="28">
        <f t="shared" si="35"/>
        <v>1.3507419748149454E-2</v>
      </c>
      <c r="D1677" s="31">
        <v>3478.73</v>
      </c>
      <c r="E1677" s="28">
        <f t="shared" si="35"/>
        <v>1.0144040989640822E-2</v>
      </c>
    </row>
    <row r="1678" spans="1:5">
      <c r="A1678" s="30">
        <v>44070</v>
      </c>
      <c r="B1678" s="28">
        <v>122.47268699999999</v>
      </c>
      <c r="C1678" s="28">
        <f t="shared" si="35"/>
        <v>-1.202626276511984E-2</v>
      </c>
      <c r="D1678" s="31">
        <v>3484.55</v>
      </c>
      <c r="E1678" s="28">
        <f t="shared" si="35"/>
        <v>1.6716264045830256E-3</v>
      </c>
    </row>
    <row r="1679" spans="1:5">
      <c r="A1679" s="30">
        <v>44071</v>
      </c>
      <c r="B1679" s="28">
        <v>122.274277</v>
      </c>
      <c r="C1679" s="28">
        <f t="shared" si="35"/>
        <v>-1.6213483527788837E-3</v>
      </c>
      <c r="D1679" s="31">
        <v>3508.01</v>
      </c>
      <c r="E1679" s="28">
        <f t="shared" si="35"/>
        <v>6.7100140785116896E-3</v>
      </c>
    </row>
    <row r="1680" spans="1:5">
      <c r="A1680" s="30">
        <v>44074</v>
      </c>
      <c r="B1680" s="28">
        <v>126.42087600000001</v>
      </c>
      <c r="C1680" s="28">
        <f t="shared" si="35"/>
        <v>3.3349932796794157E-2</v>
      </c>
      <c r="D1680" s="31">
        <v>3500.31</v>
      </c>
      <c r="E1680" s="28">
        <f t="shared" si="35"/>
        <v>-2.1973891312895358E-3</v>
      </c>
    </row>
    <row r="1681" spans="1:5">
      <c r="A1681" s="30">
        <v>44075</v>
      </c>
      <c r="B1681" s="28">
        <v>131.45654300000001</v>
      </c>
      <c r="C1681" s="28">
        <f t="shared" si="35"/>
        <v>3.9059699213709026E-2</v>
      </c>
      <c r="D1681" s="31">
        <v>3526.65</v>
      </c>
      <c r="E1681" s="28">
        <f t="shared" si="35"/>
        <v>7.496875851234013E-3</v>
      </c>
    </row>
    <row r="1682" spans="1:5">
      <c r="A1682" s="30">
        <v>44076</v>
      </c>
      <c r="B1682" s="28">
        <v>128.73292499999999</v>
      </c>
      <c r="C1682" s="28">
        <f t="shared" si="35"/>
        <v>-2.093641612756357E-2</v>
      </c>
      <c r="D1682" s="31">
        <v>3580.84</v>
      </c>
      <c r="E1682" s="28">
        <f t="shared" si="35"/>
        <v>1.5248997908235747E-2</v>
      </c>
    </row>
    <row r="1683" spans="1:5">
      <c r="A1683" s="30">
        <v>44077</v>
      </c>
      <c r="B1683" s="28">
        <v>118.426491</v>
      </c>
      <c r="C1683" s="28">
        <f t="shared" si="35"/>
        <v>-8.3447470412081393E-2</v>
      </c>
      <c r="D1683" s="31">
        <v>3455.06</v>
      </c>
      <c r="E1683" s="28">
        <f t="shared" si="35"/>
        <v>-3.5757586556313434E-2</v>
      </c>
    </row>
    <row r="1684" spans="1:5">
      <c r="A1684" s="30">
        <v>44078</v>
      </c>
      <c r="B1684" s="28">
        <v>118.504868</v>
      </c>
      <c r="C1684" s="28">
        <f t="shared" si="35"/>
        <v>6.6160092264448515E-4</v>
      </c>
      <c r="D1684" s="31">
        <v>3426.96</v>
      </c>
      <c r="E1684" s="28">
        <f t="shared" si="35"/>
        <v>-8.1662523968659001E-3</v>
      </c>
    </row>
    <row r="1685" spans="1:5">
      <c r="A1685" s="30">
        <v>44082</v>
      </c>
      <c r="B1685" s="28">
        <v>110.530106</v>
      </c>
      <c r="C1685" s="28">
        <f t="shared" si="35"/>
        <v>-6.9666103562139217E-2</v>
      </c>
      <c r="D1685" s="31">
        <v>3331.84</v>
      </c>
      <c r="E1685" s="28">
        <f t="shared" si="35"/>
        <v>-2.8148866864058281E-2</v>
      </c>
    </row>
    <row r="1686" spans="1:5">
      <c r="A1686" s="30">
        <v>44083</v>
      </c>
      <c r="B1686" s="28">
        <v>114.938744</v>
      </c>
      <c r="C1686" s="28">
        <f t="shared" si="35"/>
        <v>3.9111389241430768E-2</v>
      </c>
      <c r="D1686" s="31">
        <v>3398.96</v>
      </c>
      <c r="E1686" s="28">
        <f t="shared" si="35"/>
        <v>1.9944798533671326E-2</v>
      </c>
    </row>
    <row r="1687" spans="1:5">
      <c r="A1687" s="30">
        <v>44084</v>
      </c>
      <c r="B1687" s="28">
        <v>111.186493</v>
      </c>
      <c r="C1687" s="28">
        <f t="shared" si="35"/>
        <v>-3.3190416967913978E-2</v>
      </c>
      <c r="D1687" s="31">
        <v>3339.19</v>
      </c>
      <c r="E1687" s="28">
        <f t="shared" si="35"/>
        <v>-1.774123987058698E-2</v>
      </c>
    </row>
    <row r="1688" spans="1:5">
      <c r="A1688" s="30">
        <v>44085</v>
      </c>
      <c r="B1688" s="28">
        <v>109.726738</v>
      </c>
      <c r="C1688" s="28">
        <f t="shared" si="35"/>
        <v>-1.3215833563722818E-2</v>
      </c>
      <c r="D1688" s="31">
        <v>3340.97</v>
      </c>
      <c r="E1688" s="28">
        <f t="shared" si="35"/>
        <v>5.32921379765575E-4</v>
      </c>
    </row>
    <row r="1689" spans="1:5">
      <c r="A1689" s="30">
        <v>44088</v>
      </c>
      <c r="B1689" s="28">
        <v>113.018547</v>
      </c>
      <c r="C1689" s="28">
        <f t="shared" si="35"/>
        <v>2.9558862939548215E-2</v>
      </c>
      <c r="D1689" s="31">
        <v>3383.54</v>
      </c>
      <c r="E1689" s="28">
        <f t="shared" si="35"/>
        <v>1.2661314711189059E-2</v>
      </c>
    </row>
    <row r="1690" spans="1:5">
      <c r="A1690" s="30">
        <v>44089</v>
      </c>
      <c r="B1690" s="28">
        <v>113.194878</v>
      </c>
      <c r="C1690" s="28">
        <f t="shared" si="35"/>
        <v>1.558979408168604E-3</v>
      </c>
      <c r="D1690" s="31">
        <v>3401.2</v>
      </c>
      <c r="E1690" s="28">
        <f t="shared" si="35"/>
        <v>5.2058118315071811E-3</v>
      </c>
    </row>
    <row r="1691" spans="1:5">
      <c r="A1691" s="30">
        <v>44090</v>
      </c>
      <c r="B1691" s="28">
        <v>109.85410299999999</v>
      </c>
      <c r="C1691" s="28">
        <f t="shared" si="35"/>
        <v>-2.9957768329386014E-2</v>
      </c>
      <c r="D1691" s="31">
        <v>3385.49</v>
      </c>
      <c r="E1691" s="28">
        <f t="shared" si="35"/>
        <v>-4.6296583637453039E-3</v>
      </c>
    </row>
    <row r="1692" spans="1:5">
      <c r="A1692" s="30">
        <v>44091</v>
      </c>
      <c r="B1692" s="28">
        <v>108.100426</v>
      </c>
      <c r="C1692" s="28">
        <f t="shared" si="35"/>
        <v>-1.609248363322369E-2</v>
      </c>
      <c r="D1692" s="31">
        <v>3357.01</v>
      </c>
      <c r="E1692" s="28">
        <f t="shared" si="35"/>
        <v>-8.4479553221299946E-3</v>
      </c>
    </row>
    <row r="1693" spans="1:5">
      <c r="A1693" s="30">
        <v>44092</v>
      </c>
      <c r="B1693" s="28">
        <v>104.67145499999999</v>
      </c>
      <c r="C1693" s="28">
        <f t="shared" si="35"/>
        <v>-3.2234220831596855E-2</v>
      </c>
      <c r="D1693" s="31">
        <v>3319.47</v>
      </c>
      <c r="E1693" s="28">
        <f t="shared" si="35"/>
        <v>-1.1245565213035068E-2</v>
      </c>
    </row>
    <row r="1694" spans="1:5">
      <c r="A1694" s="30">
        <v>44095</v>
      </c>
      <c r="B1694" s="28">
        <v>107.84571099999999</v>
      </c>
      <c r="C1694" s="28">
        <f t="shared" si="35"/>
        <v>2.9875159246459775E-2</v>
      </c>
      <c r="D1694" s="31">
        <v>3281.06</v>
      </c>
      <c r="E1694" s="28">
        <f t="shared" si="35"/>
        <v>-1.1638590711243436E-2</v>
      </c>
    </row>
    <row r="1695" spans="1:5">
      <c r="A1695" s="30">
        <v>44096</v>
      </c>
      <c r="B1695" s="28">
        <v>109.540588</v>
      </c>
      <c r="C1695" s="28">
        <f t="shared" si="35"/>
        <v>1.5593543395483994E-2</v>
      </c>
      <c r="D1695" s="31">
        <v>3315.57</v>
      </c>
      <c r="E1695" s="28">
        <f t="shared" si="35"/>
        <v>1.0463013638868866E-2</v>
      </c>
    </row>
    <row r="1696" spans="1:5">
      <c r="A1696" s="30">
        <v>44097</v>
      </c>
      <c r="B1696" s="28">
        <v>104.94579299999999</v>
      </c>
      <c r="C1696" s="28">
        <f t="shared" si="35"/>
        <v>-4.2851187535239234E-2</v>
      </c>
      <c r="D1696" s="31">
        <v>3236.92</v>
      </c>
      <c r="E1696" s="28">
        <f t="shared" si="35"/>
        <v>-2.4007294161091854E-2</v>
      </c>
    </row>
    <row r="1697" spans="1:5">
      <c r="A1697" s="30">
        <v>44098</v>
      </c>
      <c r="B1697" s="28">
        <v>106.023453</v>
      </c>
      <c r="C1697" s="28">
        <f t="shared" si="35"/>
        <v>1.0216364647768178E-2</v>
      </c>
      <c r="D1697" s="31">
        <v>3246.59</v>
      </c>
      <c r="E1697" s="28">
        <f t="shared" si="35"/>
        <v>2.9829543473573147E-3</v>
      </c>
    </row>
    <row r="1698" spans="1:5">
      <c r="A1698" s="30">
        <v>44099</v>
      </c>
      <c r="B1698" s="28">
        <v>110.001053</v>
      </c>
      <c r="C1698" s="28">
        <f t="shared" si="35"/>
        <v>3.6829614118037479E-2</v>
      </c>
      <c r="D1698" s="31">
        <v>3298.46</v>
      </c>
      <c r="E1698" s="28">
        <f t="shared" si="35"/>
        <v>1.5850478138509476E-2</v>
      </c>
    </row>
    <row r="1699" spans="1:5">
      <c r="A1699" s="30">
        <v>44102</v>
      </c>
      <c r="B1699" s="28">
        <v>112.62666299999999</v>
      </c>
      <c r="C1699" s="28">
        <f t="shared" si="35"/>
        <v>2.3588543161377828E-2</v>
      </c>
      <c r="D1699" s="31">
        <v>3351.6</v>
      </c>
      <c r="E1699" s="28">
        <f t="shared" si="35"/>
        <v>1.5982150874003724E-2</v>
      </c>
    </row>
    <row r="1700" spans="1:5">
      <c r="A1700" s="30">
        <v>44103</v>
      </c>
      <c r="B1700" s="28">
        <v>111.774323</v>
      </c>
      <c r="C1700" s="28">
        <f t="shared" si="35"/>
        <v>-7.5966163441037798E-3</v>
      </c>
      <c r="D1700" s="31">
        <v>3335.47</v>
      </c>
      <c r="E1700" s="28">
        <f t="shared" si="35"/>
        <v>-4.8242447838090239E-3</v>
      </c>
    </row>
    <row r="1701" spans="1:5">
      <c r="A1701" s="30">
        <v>44104</v>
      </c>
      <c r="B1701" s="28">
        <v>113.45940400000001</v>
      </c>
      <c r="C1701" s="28">
        <f t="shared" si="35"/>
        <v>1.4963233640897111E-2</v>
      </c>
      <c r="D1701" s="31">
        <v>3363</v>
      </c>
      <c r="E1701" s="28">
        <f t="shared" si="35"/>
        <v>8.2198337849473339E-3</v>
      </c>
    </row>
    <row r="1702" spans="1:5">
      <c r="A1702" s="30">
        <v>44105</v>
      </c>
      <c r="B1702" s="28">
        <v>114.41951</v>
      </c>
      <c r="C1702" s="28">
        <f t="shared" si="35"/>
        <v>8.4265074310708975E-3</v>
      </c>
      <c r="D1702" s="31">
        <v>3380.8</v>
      </c>
      <c r="E1702" s="28">
        <f t="shared" si="35"/>
        <v>5.2789351215227383E-3</v>
      </c>
    </row>
    <row r="1703" spans="1:5">
      <c r="A1703" s="30">
        <v>44106</v>
      </c>
      <c r="B1703" s="28">
        <v>110.72603599999999</v>
      </c>
      <c r="C1703" s="28">
        <f t="shared" si="35"/>
        <v>-3.2812600083737237E-2</v>
      </c>
      <c r="D1703" s="31">
        <v>3348.42</v>
      </c>
      <c r="E1703" s="28">
        <f t="shared" si="35"/>
        <v>-9.6237750916984329E-3</v>
      </c>
    </row>
    <row r="1704" spans="1:5">
      <c r="A1704" s="30">
        <v>44109</v>
      </c>
      <c r="B1704" s="28">
        <v>114.135414</v>
      </c>
      <c r="C1704" s="28">
        <f t="shared" si="35"/>
        <v>3.0326579294121532E-2</v>
      </c>
      <c r="D1704" s="31">
        <v>3408.6</v>
      </c>
      <c r="E1704" s="28">
        <f t="shared" si="35"/>
        <v>1.7813057021042421E-2</v>
      </c>
    </row>
    <row r="1705" spans="1:5">
      <c r="A1705" s="30">
        <v>44110</v>
      </c>
      <c r="B1705" s="28">
        <v>110.86319</v>
      </c>
      <c r="C1705" s="28">
        <f t="shared" si="35"/>
        <v>-2.9088666964260539E-2</v>
      </c>
      <c r="D1705" s="31">
        <v>3360.97</v>
      </c>
      <c r="E1705" s="28">
        <f t="shared" si="35"/>
        <v>-1.4072027020773103E-2</v>
      </c>
    </row>
    <row r="1706" spans="1:5">
      <c r="A1706" s="30">
        <v>44111</v>
      </c>
      <c r="B1706" s="28">
        <v>112.74421700000001</v>
      </c>
      <c r="C1706" s="28">
        <f t="shared" si="35"/>
        <v>1.6824767992518211E-2</v>
      </c>
      <c r="D1706" s="31">
        <v>3419.44</v>
      </c>
      <c r="E1706" s="28">
        <f t="shared" si="35"/>
        <v>1.7247172188931348E-2</v>
      </c>
    </row>
    <row r="1707" spans="1:5">
      <c r="A1707" s="30">
        <v>44112</v>
      </c>
      <c r="B1707" s="28">
        <v>112.63645200000001</v>
      </c>
      <c r="C1707" s="28">
        <f t="shared" si="35"/>
        <v>-9.5629326765872384E-4</v>
      </c>
      <c r="D1707" s="31">
        <v>3446.83</v>
      </c>
      <c r="E1707" s="28">
        <f t="shared" si="35"/>
        <v>7.9781730936344594E-3</v>
      </c>
    </row>
    <row r="1708" spans="1:5">
      <c r="A1708" s="30">
        <v>44113</v>
      </c>
      <c r="B1708" s="28">
        <v>114.59586299999999</v>
      </c>
      <c r="C1708" s="28">
        <f t="shared" si="35"/>
        <v>1.7246310818501476E-2</v>
      </c>
      <c r="D1708" s="31">
        <v>3477.14</v>
      </c>
      <c r="E1708" s="28">
        <f t="shared" si="35"/>
        <v>8.7551487402514096E-3</v>
      </c>
    </row>
    <row r="1709" spans="1:5">
      <c r="A1709" s="30">
        <v>44116</v>
      </c>
      <c r="B1709" s="28">
        <v>121.875061</v>
      </c>
      <c r="C1709" s="28">
        <f t="shared" si="35"/>
        <v>6.1584725678108895E-2</v>
      </c>
      <c r="D1709" s="31">
        <v>3534.22</v>
      </c>
      <c r="E1709" s="28">
        <f t="shared" si="35"/>
        <v>1.6282507554067349E-2</v>
      </c>
    </row>
    <row r="1710" spans="1:5">
      <c r="A1710" s="30">
        <v>44117</v>
      </c>
      <c r="B1710" s="28">
        <v>118.642021</v>
      </c>
      <c r="C1710" s="28">
        <f t="shared" si="35"/>
        <v>-2.6885697419214205E-2</v>
      </c>
      <c r="D1710" s="31">
        <v>3511.93</v>
      </c>
      <c r="E1710" s="28">
        <f t="shared" si="35"/>
        <v>-6.3268804537488111E-3</v>
      </c>
    </row>
    <row r="1711" spans="1:5">
      <c r="A1711" s="30">
        <v>44118</v>
      </c>
      <c r="B1711" s="28">
        <v>118.730209</v>
      </c>
      <c r="C1711" s="28">
        <f t="shared" si="35"/>
        <v>7.4303556113025865E-4</v>
      </c>
      <c r="D1711" s="31">
        <v>3488.67</v>
      </c>
      <c r="E1711" s="28">
        <f t="shared" si="35"/>
        <v>-6.6451691550408936E-3</v>
      </c>
    </row>
    <row r="1712" spans="1:5">
      <c r="A1712" s="30">
        <v>44119</v>
      </c>
      <c r="B1712" s="28">
        <v>118.259941</v>
      </c>
      <c r="C1712" s="28">
        <f t="shared" si="35"/>
        <v>-3.9686764807903762E-3</v>
      </c>
      <c r="D1712" s="31">
        <v>3483.34</v>
      </c>
      <c r="E1712" s="28">
        <f t="shared" si="35"/>
        <v>-1.5289711398439405E-3</v>
      </c>
    </row>
    <row r="1713" spans="1:5">
      <c r="A1713" s="30">
        <v>44120</v>
      </c>
      <c r="B1713" s="28">
        <v>116.604248</v>
      </c>
      <c r="C1713" s="28">
        <f t="shared" si="35"/>
        <v>-1.4099385992080125E-2</v>
      </c>
      <c r="D1713" s="31">
        <v>3483.81</v>
      </c>
      <c r="E1713" s="28">
        <f t="shared" si="35"/>
        <v>1.3491886946954788E-4</v>
      </c>
    </row>
    <row r="1714" spans="1:5">
      <c r="A1714" s="30">
        <v>44123</v>
      </c>
      <c r="B1714" s="28">
        <v>113.625969</v>
      </c>
      <c r="C1714" s="28">
        <f t="shared" si="35"/>
        <v>-2.5873624985667497E-2</v>
      </c>
      <c r="D1714" s="31">
        <v>3426.92</v>
      </c>
      <c r="E1714" s="28">
        <f t="shared" si="35"/>
        <v>-1.6464623898632638E-2</v>
      </c>
    </row>
    <row r="1715" spans="1:5">
      <c r="A1715" s="30">
        <v>44124</v>
      </c>
      <c r="B1715" s="28">
        <v>115.124893</v>
      </c>
      <c r="C1715" s="28">
        <f t="shared" si="35"/>
        <v>1.3105484636416018E-2</v>
      </c>
      <c r="D1715" s="31">
        <v>3443.12</v>
      </c>
      <c r="E1715" s="28">
        <f t="shared" si="35"/>
        <v>4.7161384872977134E-3</v>
      </c>
    </row>
    <row r="1716" spans="1:5">
      <c r="A1716" s="30">
        <v>44125</v>
      </c>
      <c r="B1716" s="28">
        <v>114.49788700000001</v>
      </c>
      <c r="C1716" s="28">
        <f t="shared" si="35"/>
        <v>-5.461196474957593E-3</v>
      </c>
      <c r="D1716" s="31">
        <v>3435.56</v>
      </c>
      <c r="E1716" s="28">
        <f t="shared" si="35"/>
        <v>-2.1980970313859494E-3</v>
      </c>
    </row>
    <row r="1717" spans="1:5">
      <c r="A1717" s="30">
        <v>44126</v>
      </c>
      <c r="B1717" s="28">
        <v>113.40062</v>
      </c>
      <c r="C1717" s="28">
        <f t="shared" si="35"/>
        <v>-9.6295100247030946E-3</v>
      </c>
      <c r="D1717" s="31">
        <v>3453.49</v>
      </c>
      <c r="E1717" s="28">
        <f t="shared" si="35"/>
        <v>5.2053738863262616E-3</v>
      </c>
    </row>
    <row r="1718" spans="1:5">
      <c r="A1718" s="30">
        <v>44127</v>
      </c>
      <c r="B1718" s="28">
        <v>112.705032</v>
      </c>
      <c r="C1718" s="28">
        <f t="shared" si="35"/>
        <v>-6.1527890898901974E-3</v>
      </c>
      <c r="D1718" s="31">
        <v>3465.39</v>
      </c>
      <c r="E1718" s="28">
        <f t="shared" si="35"/>
        <v>3.4398664911297477E-3</v>
      </c>
    </row>
    <row r="1719" spans="1:5">
      <c r="A1719" s="30">
        <v>44130</v>
      </c>
      <c r="B1719" s="28">
        <v>112.71481300000001</v>
      </c>
      <c r="C1719" s="28">
        <f t="shared" si="35"/>
        <v>8.6780292180095649E-5</v>
      </c>
      <c r="D1719" s="31">
        <v>3400.97</v>
      </c>
      <c r="E1719" s="28">
        <f t="shared" si="35"/>
        <v>-1.8764495369547173E-2</v>
      </c>
    </row>
    <row r="1720" spans="1:5">
      <c r="A1720" s="30">
        <v>44131</v>
      </c>
      <c r="B1720" s="28">
        <v>114.23337600000001</v>
      </c>
      <c r="C1720" s="28">
        <f t="shared" si="35"/>
        <v>1.3382663863777105E-2</v>
      </c>
      <c r="D1720" s="31">
        <v>3390.68</v>
      </c>
      <c r="E1720" s="28">
        <f t="shared" si="35"/>
        <v>-3.0301938037524704E-3</v>
      </c>
    </row>
    <row r="1721" spans="1:5">
      <c r="A1721" s="30">
        <v>44132</v>
      </c>
      <c r="B1721" s="28">
        <v>108.942978</v>
      </c>
      <c r="C1721" s="28">
        <f t="shared" si="35"/>
        <v>-4.7418905986665434E-2</v>
      </c>
      <c r="D1721" s="31">
        <v>3271.03</v>
      </c>
      <c r="E1721" s="28">
        <f t="shared" si="35"/>
        <v>-3.5925571226008889E-2</v>
      </c>
    </row>
    <row r="1722" spans="1:5">
      <c r="A1722" s="30">
        <v>44133</v>
      </c>
      <c r="B1722" s="28">
        <v>112.979347</v>
      </c>
      <c r="C1722" s="28">
        <f t="shared" si="35"/>
        <v>3.6380424366139211E-2</v>
      </c>
      <c r="D1722" s="31">
        <v>3310.11</v>
      </c>
      <c r="E1722" s="28">
        <f t="shared" si="35"/>
        <v>1.18765014438055E-2</v>
      </c>
    </row>
    <row r="1723" spans="1:5">
      <c r="A1723" s="30">
        <v>44134</v>
      </c>
      <c r="B1723" s="28">
        <v>106.65046700000001</v>
      </c>
      <c r="C1723" s="28">
        <f t="shared" si="35"/>
        <v>-5.7648208379418885E-2</v>
      </c>
      <c r="D1723" s="31">
        <v>3269.96</v>
      </c>
      <c r="E1723" s="28">
        <f t="shared" si="35"/>
        <v>-1.2203669046735501E-2</v>
      </c>
    </row>
    <row r="1724" spans="1:5">
      <c r="A1724" s="30">
        <v>44137</v>
      </c>
      <c r="B1724" s="28">
        <v>106.56229399999999</v>
      </c>
      <c r="C1724" s="28">
        <f t="shared" si="35"/>
        <v>-8.2708937882413486E-4</v>
      </c>
      <c r="D1724" s="31">
        <v>3310.24</v>
      </c>
      <c r="E1724" s="28">
        <f t="shared" si="35"/>
        <v>1.2242941894852779E-2</v>
      </c>
    </row>
    <row r="1725" spans="1:5">
      <c r="A1725" s="30">
        <v>44138</v>
      </c>
      <c r="B1725" s="28">
        <v>108.198402</v>
      </c>
      <c r="C1725" s="28">
        <f t="shared" si="35"/>
        <v>1.5236863018786182E-2</v>
      </c>
      <c r="D1725" s="31">
        <v>3369.16</v>
      </c>
      <c r="E1725" s="28">
        <f t="shared" si="35"/>
        <v>1.7642760820758659E-2</v>
      </c>
    </row>
    <row r="1726" spans="1:5">
      <c r="A1726" s="30">
        <v>44139</v>
      </c>
      <c r="B1726" s="28">
        <v>112.616867</v>
      </c>
      <c r="C1726" s="28">
        <f t="shared" si="35"/>
        <v>4.0024902867527766E-2</v>
      </c>
      <c r="D1726" s="31">
        <v>3443.44</v>
      </c>
      <c r="E1726" s="28">
        <f t="shared" si="35"/>
        <v>2.1807516584335981E-2</v>
      </c>
    </row>
    <row r="1727" spans="1:5">
      <c r="A1727" s="30">
        <v>44140</v>
      </c>
      <c r="B1727" s="28">
        <v>116.614037</v>
      </c>
      <c r="C1727" s="28">
        <f t="shared" si="35"/>
        <v>3.4878152380955367E-2</v>
      </c>
      <c r="D1727" s="31">
        <v>3510.45</v>
      </c>
      <c r="E1727" s="28">
        <f t="shared" si="35"/>
        <v>1.9273262670013912E-2</v>
      </c>
    </row>
    <row r="1728" spans="1:5">
      <c r="A1728" s="30">
        <v>44141</v>
      </c>
      <c r="B1728" s="28">
        <v>116.481544</v>
      </c>
      <c r="C1728" s="28">
        <f t="shared" si="35"/>
        <v>-1.136812750378684E-3</v>
      </c>
      <c r="D1728" s="31">
        <v>3509.44</v>
      </c>
      <c r="E1728" s="28">
        <f t="shared" si="35"/>
        <v>-2.8775379869741254E-4</v>
      </c>
    </row>
    <row r="1729" spans="1:5">
      <c r="A1729" s="30">
        <v>44144</v>
      </c>
      <c r="B1729" s="28">
        <v>114.155647</v>
      </c>
      <c r="C1729" s="28">
        <f t="shared" si="35"/>
        <v>-2.0169998107203595E-2</v>
      </c>
      <c r="D1729" s="31">
        <v>3550.5</v>
      </c>
      <c r="E1729" s="28">
        <f t="shared" si="35"/>
        <v>1.1631958050304203E-2</v>
      </c>
    </row>
    <row r="1730" spans="1:5">
      <c r="A1730" s="30">
        <v>44145</v>
      </c>
      <c r="B1730" s="28">
        <v>113.81218699999999</v>
      </c>
      <c r="C1730" s="28">
        <f t="shared" si="35"/>
        <v>-3.0132344010666409E-3</v>
      </c>
      <c r="D1730" s="31">
        <v>3545.53</v>
      </c>
      <c r="E1730" s="28">
        <f t="shared" si="35"/>
        <v>-1.4007834839128777E-3</v>
      </c>
    </row>
    <row r="1731" spans="1:5">
      <c r="A1731" s="30">
        <v>44146</v>
      </c>
      <c r="B1731" s="28">
        <v>117.26666299999999</v>
      </c>
      <c r="C1731" s="28">
        <f t="shared" si="35"/>
        <v>2.9900905020823938E-2</v>
      </c>
      <c r="D1731" s="31">
        <v>3572.66</v>
      </c>
      <c r="E1731" s="28">
        <f t="shared" si="35"/>
        <v>7.622761226929676E-3</v>
      </c>
    </row>
    <row r="1732" spans="1:5">
      <c r="A1732" s="30">
        <v>44147</v>
      </c>
      <c r="B1732" s="28">
        <v>116.99189800000001</v>
      </c>
      <c r="C1732" s="28">
        <f t="shared" si="35"/>
        <v>-2.3458278308174812E-3</v>
      </c>
      <c r="D1732" s="31">
        <v>3537.01</v>
      </c>
      <c r="E1732" s="28">
        <f t="shared" si="35"/>
        <v>-1.0028678908945363E-2</v>
      </c>
    </row>
    <row r="1733" spans="1:5">
      <c r="A1733" s="30">
        <v>44148</v>
      </c>
      <c r="B1733" s="28">
        <v>117.04096199999999</v>
      </c>
      <c r="C1733" s="28">
        <f t="shared" ref="C1733:E1796" si="36">LN(B1733/B1732)</f>
        <v>4.1929155349203836E-4</v>
      </c>
      <c r="D1733" s="31">
        <v>3585.15</v>
      </c>
      <c r="E1733" s="28">
        <f t="shared" si="36"/>
        <v>1.3518576706374859E-2</v>
      </c>
    </row>
    <row r="1734" spans="1:5">
      <c r="A1734" s="30">
        <v>44151</v>
      </c>
      <c r="B1734" s="28">
        <v>118.061607</v>
      </c>
      <c r="C1734" s="28">
        <f t="shared" si="36"/>
        <v>8.6826053525009238E-3</v>
      </c>
      <c r="D1734" s="31">
        <v>3626.91</v>
      </c>
      <c r="E1734" s="28">
        <f t="shared" si="36"/>
        <v>1.1580731916656505E-2</v>
      </c>
    </row>
    <row r="1735" spans="1:5">
      <c r="A1735" s="30">
        <v>44152</v>
      </c>
      <c r="B1735" s="28">
        <v>117.168541</v>
      </c>
      <c r="C1735" s="28">
        <f t="shared" si="36"/>
        <v>-7.5931618330507961E-3</v>
      </c>
      <c r="D1735" s="31">
        <v>3609.53</v>
      </c>
      <c r="E1735" s="28">
        <f t="shared" si="36"/>
        <v>-4.8034761341036901E-3</v>
      </c>
    </row>
    <row r="1736" spans="1:5">
      <c r="A1736" s="30">
        <v>44153</v>
      </c>
      <c r="B1736" s="28">
        <v>115.833855</v>
      </c>
      <c r="C1736" s="28">
        <f t="shared" si="36"/>
        <v>-1.1456539685988315E-2</v>
      </c>
      <c r="D1736" s="31">
        <v>3567.79</v>
      </c>
      <c r="E1736" s="28">
        <f t="shared" si="36"/>
        <v>-1.1631213479601318E-2</v>
      </c>
    </row>
    <row r="1737" spans="1:5">
      <c r="A1737" s="30">
        <v>44154</v>
      </c>
      <c r="B1737" s="28">
        <v>116.432495</v>
      </c>
      <c r="C1737" s="28">
        <f t="shared" si="36"/>
        <v>5.1547830805226957E-3</v>
      </c>
      <c r="D1737" s="31">
        <v>3581.87</v>
      </c>
      <c r="E1737" s="28">
        <f t="shared" si="36"/>
        <v>3.9386539225387159E-3</v>
      </c>
    </row>
    <row r="1738" spans="1:5">
      <c r="A1738" s="30">
        <v>44155</v>
      </c>
      <c r="B1738" s="28">
        <v>115.156685</v>
      </c>
      <c r="C1738" s="28">
        <f t="shared" si="36"/>
        <v>-1.1017983711410115E-2</v>
      </c>
      <c r="D1738" s="31">
        <v>3557.54</v>
      </c>
      <c r="E1738" s="28">
        <f t="shared" si="36"/>
        <v>-6.8157156362698918E-3</v>
      </c>
    </row>
    <row r="1739" spans="1:5">
      <c r="A1739" s="30">
        <v>44158</v>
      </c>
      <c r="B1739" s="28">
        <v>111.731613</v>
      </c>
      <c r="C1739" s="28">
        <f t="shared" si="36"/>
        <v>-3.0193996249587143E-2</v>
      </c>
      <c r="D1739" s="31">
        <v>3577.59</v>
      </c>
      <c r="E1739" s="28">
        <f t="shared" si="36"/>
        <v>5.6200945950578216E-3</v>
      </c>
    </row>
    <row r="1740" spans="1:5">
      <c r="A1740" s="30">
        <v>44159</v>
      </c>
      <c r="B1740" s="28">
        <v>113.027069</v>
      </c>
      <c r="C1740" s="28">
        <f t="shared" si="36"/>
        <v>1.1527655654461273E-2</v>
      </c>
      <c r="D1740" s="31">
        <v>3635.41</v>
      </c>
      <c r="E1740" s="28">
        <f t="shared" si="36"/>
        <v>1.6032507557285768E-2</v>
      </c>
    </row>
    <row r="1741" spans="1:5">
      <c r="A1741" s="30">
        <v>44160</v>
      </c>
      <c r="B1741" s="28">
        <v>113.871056</v>
      </c>
      <c r="C1741" s="28">
        <f t="shared" si="36"/>
        <v>7.4393818150123867E-3</v>
      </c>
      <c r="D1741" s="31">
        <v>3629.65</v>
      </c>
      <c r="E1741" s="28">
        <f t="shared" si="36"/>
        <v>-1.5856720266289198E-3</v>
      </c>
    </row>
    <row r="1742" spans="1:5">
      <c r="A1742" s="30">
        <v>44162</v>
      </c>
      <c r="B1742" s="28">
        <v>114.42063899999999</v>
      </c>
      <c r="C1742" s="28">
        <f t="shared" si="36"/>
        <v>4.8147530000626033E-3</v>
      </c>
      <c r="D1742" s="31">
        <v>3638.35</v>
      </c>
      <c r="E1742" s="28">
        <f t="shared" si="36"/>
        <v>2.3940572799516376E-3</v>
      </c>
    </row>
    <row r="1743" spans="1:5">
      <c r="A1743" s="30">
        <v>44165</v>
      </c>
      <c r="B1743" s="28">
        <v>116.83485400000001</v>
      </c>
      <c r="C1743" s="28">
        <f t="shared" si="36"/>
        <v>2.0879959900920557E-2</v>
      </c>
      <c r="D1743" s="31">
        <v>3621.63</v>
      </c>
      <c r="E1743" s="28">
        <f t="shared" si="36"/>
        <v>-4.6060814384970977E-3</v>
      </c>
    </row>
    <row r="1744" spans="1:5">
      <c r="A1744" s="30">
        <v>44166</v>
      </c>
      <c r="B1744" s="28">
        <v>120.436584</v>
      </c>
      <c r="C1744" s="28">
        <f t="shared" si="36"/>
        <v>3.0361907127395237E-2</v>
      </c>
      <c r="D1744" s="31">
        <v>3662.45</v>
      </c>
      <c r="E1744" s="28">
        <f t="shared" si="36"/>
        <v>1.1208121636017976E-2</v>
      </c>
    </row>
    <row r="1745" spans="1:5">
      <c r="A1745" s="30">
        <v>44167</v>
      </c>
      <c r="B1745" s="28">
        <v>120.789879</v>
      </c>
      <c r="C1745" s="28">
        <f t="shared" si="36"/>
        <v>2.9291583370351804E-3</v>
      </c>
      <c r="D1745" s="31">
        <v>3669.01</v>
      </c>
      <c r="E1745" s="28">
        <f t="shared" si="36"/>
        <v>1.7895485348597621E-3</v>
      </c>
    </row>
    <row r="1746" spans="1:5">
      <c r="A1746" s="30">
        <v>44168</v>
      </c>
      <c r="B1746" s="28">
        <v>120.652496</v>
      </c>
      <c r="C1746" s="28">
        <f t="shared" si="36"/>
        <v>-1.1380190807592264E-3</v>
      </c>
      <c r="D1746" s="31">
        <v>3666.72</v>
      </c>
      <c r="E1746" s="28">
        <f t="shared" si="36"/>
        <v>-6.2434142870242462E-4</v>
      </c>
    </row>
    <row r="1747" spans="1:5">
      <c r="A1747" s="30">
        <v>44169</v>
      </c>
      <c r="B1747" s="28">
        <v>119.97532699999999</v>
      </c>
      <c r="C1747" s="28">
        <f t="shared" si="36"/>
        <v>-5.6283664889500559E-3</v>
      </c>
      <c r="D1747" s="31">
        <v>3699.12</v>
      </c>
      <c r="E1747" s="28">
        <f t="shared" si="36"/>
        <v>8.7974240454147031E-3</v>
      </c>
    </row>
    <row r="1748" spans="1:5">
      <c r="A1748" s="30">
        <v>44172</v>
      </c>
      <c r="B1748" s="28">
        <v>121.447418</v>
      </c>
      <c r="C1748" s="28">
        <f t="shared" si="36"/>
        <v>1.219528213608145E-2</v>
      </c>
      <c r="D1748" s="31">
        <v>3691.96</v>
      </c>
      <c r="E1748" s="28">
        <f t="shared" si="36"/>
        <v>-1.9374711787083175E-3</v>
      </c>
    </row>
    <row r="1749" spans="1:5">
      <c r="A1749" s="30">
        <v>44173</v>
      </c>
      <c r="B1749" s="28">
        <v>122.065697</v>
      </c>
      <c r="C1749" s="28">
        <f t="shared" si="36"/>
        <v>5.0780043496594911E-3</v>
      </c>
      <c r="D1749" s="31">
        <v>3702.25</v>
      </c>
      <c r="E1749" s="28">
        <f t="shared" si="36"/>
        <v>2.7832605897471193E-3</v>
      </c>
    </row>
    <row r="1750" spans="1:5">
      <c r="A1750" s="30">
        <v>44174</v>
      </c>
      <c r="B1750" s="28">
        <v>119.51406900000001</v>
      </c>
      <c r="C1750" s="28">
        <f t="shared" si="36"/>
        <v>-2.1125303134917346E-2</v>
      </c>
      <c r="D1750" s="31">
        <v>3672.82</v>
      </c>
      <c r="E1750" s="28">
        <f t="shared" si="36"/>
        <v>-7.9809835607026966E-3</v>
      </c>
    </row>
    <row r="1751" spans="1:5">
      <c r="A1751" s="30">
        <v>44175</v>
      </c>
      <c r="B1751" s="28">
        <v>120.946907</v>
      </c>
      <c r="C1751" s="28">
        <f t="shared" si="36"/>
        <v>1.1917567519167314E-2</v>
      </c>
      <c r="D1751" s="31">
        <v>3668.1</v>
      </c>
      <c r="E1751" s="28">
        <f t="shared" si="36"/>
        <v>-1.2859425386560199E-3</v>
      </c>
    </row>
    <row r="1752" spans="1:5">
      <c r="A1752" s="30">
        <v>44176</v>
      </c>
      <c r="B1752" s="28">
        <v>120.132362</v>
      </c>
      <c r="C1752" s="28">
        <f t="shared" si="36"/>
        <v>-6.7575126056258544E-3</v>
      </c>
      <c r="D1752" s="31">
        <v>3663.46</v>
      </c>
      <c r="E1752" s="28">
        <f t="shared" si="36"/>
        <v>-1.2657607983834493E-3</v>
      </c>
    </row>
    <row r="1753" spans="1:5">
      <c r="A1753" s="30">
        <v>44179</v>
      </c>
      <c r="B1753" s="28">
        <v>119.51406900000001</v>
      </c>
      <c r="C1753" s="28">
        <f t="shared" si="36"/>
        <v>-5.1600549135413266E-3</v>
      </c>
      <c r="D1753" s="31">
        <v>3647.49</v>
      </c>
      <c r="E1753" s="28">
        <f t="shared" si="36"/>
        <v>-4.3687962305264194E-3</v>
      </c>
    </row>
    <row r="1754" spans="1:5">
      <c r="A1754" s="30">
        <v>44180</v>
      </c>
      <c r="B1754" s="28">
        <v>125.50054900000001</v>
      </c>
      <c r="C1754" s="28">
        <f t="shared" si="36"/>
        <v>4.8876036405017628E-2</v>
      </c>
      <c r="D1754" s="31">
        <v>3694.62</v>
      </c>
      <c r="E1754" s="28">
        <f t="shared" si="36"/>
        <v>1.2838447626446777E-2</v>
      </c>
    </row>
    <row r="1755" spans="1:5">
      <c r="A1755" s="30">
        <v>44181</v>
      </c>
      <c r="B1755" s="28">
        <v>125.431877</v>
      </c>
      <c r="C1755" s="28">
        <f t="shared" si="36"/>
        <v>-5.4733461760242202E-4</v>
      </c>
      <c r="D1755" s="31">
        <v>3701.17</v>
      </c>
      <c r="E1755" s="28">
        <f t="shared" si="36"/>
        <v>1.7712784469306416E-3</v>
      </c>
    </row>
    <row r="1756" spans="1:5">
      <c r="A1756" s="30">
        <v>44182</v>
      </c>
      <c r="B1756" s="28">
        <v>126.30529799999999</v>
      </c>
      <c r="C1756" s="28">
        <f t="shared" si="36"/>
        <v>6.9391777734711868E-3</v>
      </c>
      <c r="D1756" s="31">
        <v>3722.48</v>
      </c>
      <c r="E1756" s="28">
        <f t="shared" si="36"/>
        <v>5.7411269476310561E-3</v>
      </c>
    </row>
    <row r="1757" spans="1:5">
      <c r="A1757" s="30">
        <v>44183</v>
      </c>
      <c r="B1757" s="28">
        <v>124.303268</v>
      </c>
      <c r="C1757" s="28">
        <f t="shared" si="36"/>
        <v>-1.5977686818181257E-2</v>
      </c>
      <c r="D1757" s="31">
        <v>3709.41</v>
      </c>
      <c r="E1757" s="28">
        <f t="shared" si="36"/>
        <v>-3.5172785050231921E-3</v>
      </c>
    </row>
    <row r="1758" spans="1:5">
      <c r="A1758" s="30">
        <v>44186</v>
      </c>
      <c r="B1758" s="28">
        <v>125.844048</v>
      </c>
      <c r="C1758" s="28">
        <f t="shared" si="36"/>
        <v>1.2319136662866596E-2</v>
      </c>
      <c r="D1758" s="31">
        <v>3694.92</v>
      </c>
      <c r="E1758" s="28">
        <f t="shared" si="36"/>
        <v>-3.913931036978114E-3</v>
      </c>
    </row>
    <row r="1759" spans="1:5">
      <c r="A1759" s="30">
        <v>44187</v>
      </c>
      <c r="B1759" s="28">
        <v>129.426163</v>
      </c>
      <c r="C1759" s="28">
        <f t="shared" si="36"/>
        <v>2.8067122581944926E-2</v>
      </c>
      <c r="D1759" s="31">
        <v>3687.26</v>
      </c>
      <c r="E1759" s="28">
        <f t="shared" si="36"/>
        <v>-2.0752684841428568E-3</v>
      </c>
    </row>
    <row r="1760" spans="1:5">
      <c r="A1760" s="30">
        <v>44188</v>
      </c>
      <c r="B1760" s="28">
        <v>128.52323899999999</v>
      </c>
      <c r="C1760" s="28">
        <f t="shared" si="36"/>
        <v>-7.0008124135330901E-3</v>
      </c>
      <c r="D1760" s="31">
        <v>3690.01</v>
      </c>
      <c r="E1760" s="28">
        <f t="shared" si="36"/>
        <v>7.4553327379252537E-4</v>
      </c>
    </row>
    <row r="1761" spans="1:5">
      <c r="A1761" s="30">
        <v>44189</v>
      </c>
      <c r="B1761" s="28">
        <v>129.51448099999999</v>
      </c>
      <c r="C1761" s="28">
        <f t="shared" si="36"/>
        <v>7.6829610485285573E-3</v>
      </c>
      <c r="D1761" s="31">
        <v>3703.06</v>
      </c>
      <c r="E1761" s="28">
        <f t="shared" si="36"/>
        <v>3.5303368029281483E-3</v>
      </c>
    </row>
    <row r="1762" spans="1:5">
      <c r="A1762" s="30">
        <v>44193</v>
      </c>
      <c r="B1762" s="28">
        <v>134.14666700000001</v>
      </c>
      <c r="C1762" s="28">
        <f t="shared" si="36"/>
        <v>3.5141033958825757E-2</v>
      </c>
      <c r="D1762" s="31">
        <v>3735.36</v>
      </c>
      <c r="E1762" s="28">
        <f t="shared" si="36"/>
        <v>8.6846946033693542E-3</v>
      </c>
    </row>
    <row r="1763" spans="1:5">
      <c r="A1763" s="30">
        <v>44194</v>
      </c>
      <c r="B1763" s="28">
        <v>132.36047400000001</v>
      </c>
      <c r="C1763" s="28">
        <f t="shared" si="36"/>
        <v>-1.3404667051244486E-2</v>
      </c>
      <c r="D1763" s="31">
        <v>3727.04</v>
      </c>
      <c r="E1763" s="28">
        <f t="shared" si="36"/>
        <v>-2.2298465500115035E-3</v>
      </c>
    </row>
    <row r="1764" spans="1:5">
      <c r="A1764" s="30">
        <v>44195</v>
      </c>
      <c r="B1764" s="28">
        <v>131.23191800000001</v>
      </c>
      <c r="C1764" s="28">
        <f t="shared" si="36"/>
        <v>-8.5629398274828968E-3</v>
      </c>
      <c r="D1764" s="31">
        <v>3732.04</v>
      </c>
      <c r="E1764" s="28">
        <f t="shared" si="36"/>
        <v>1.3406481091209083E-3</v>
      </c>
    </row>
    <row r="1765" spans="1:5">
      <c r="A1765" s="30">
        <v>44196</v>
      </c>
      <c r="B1765" s="28">
        <v>130.221069</v>
      </c>
      <c r="C1765" s="28">
        <f t="shared" si="36"/>
        <v>-7.7325874023774855E-3</v>
      </c>
      <c r="D1765" s="31">
        <v>3756.07</v>
      </c>
      <c r="E1765" s="28">
        <f t="shared" si="36"/>
        <v>6.4181969787920831E-3</v>
      </c>
    </row>
    <row r="1766" spans="1:5">
      <c r="A1766" s="30">
        <v>44200</v>
      </c>
      <c r="B1766" s="28">
        <v>127.002121</v>
      </c>
      <c r="C1766" s="28">
        <f t="shared" si="36"/>
        <v>-2.5029749852941631E-2</v>
      </c>
      <c r="D1766" s="31">
        <v>3700.65</v>
      </c>
      <c r="E1766" s="28">
        <f t="shared" si="36"/>
        <v>-1.4864718123372964E-2</v>
      </c>
    </row>
    <row r="1767" spans="1:5">
      <c r="A1767" s="30">
        <v>44201</v>
      </c>
      <c r="B1767" s="28">
        <v>128.572327</v>
      </c>
      <c r="C1767" s="28">
        <f t="shared" si="36"/>
        <v>1.2287814915824469E-2</v>
      </c>
      <c r="D1767" s="31">
        <v>3726.86</v>
      </c>
      <c r="E1767" s="28">
        <f t="shared" si="36"/>
        <v>7.0575761707220575E-3</v>
      </c>
    </row>
    <row r="1768" spans="1:5">
      <c r="A1768" s="30">
        <v>44202</v>
      </c>
      <c r="B1768" s="28">
        <v>124.244377</v>
      </c>
      <c r="C1768" s="28">
        <f t="shared" si="36"/>
        <v>-3.4241193602884433E-2</v>
      </c>
      <c r="D1768" s="31">
        <v>3748.14</v>
      </c>
      <c r="E1768" s="28">
        <f t="shared" si="36"/>
        <v>5.6936608662176199E-3</v>
      </c>
    </row>
    <row r="1769" spans="1:5">
      <c r="A1769" s="30">
        <v>44203</v>
      </c>
      <c r="B1769" s="28">
        <v>128.48397800000001</v>
      </c>
      <c r="C1769" s="28">
        <f t="shared" si="36"/>
        <v>3.3553803317096467E-2</v>
      </c>
      <c r="D1769" s="31">
        <v>3803.79</v>
      </c>
      <c r="E1769" s="28">
        <f t="shared" si="36"/>
        <v>1.4738221178340893E-2</v>
      </c>
    </row>
    <row r="1770" spans="1:5">
      <c r="A1770" s="30">
        <v>44204</v>
      </c>
      <c r="B1770" s="28">
        <v>129.59300200000001</v>
      </c>
      <c r="C1770" s="28">
        <f t="shared" si="36"/>
        <v>8.5945738101354929E-3</v>
      </c>
      <c r="D1770" s="31">
        <v>3824.68</v>
      </c>
      <c r="E1770" s="28">
        <f t="shared" si="36"/>
        <v>5.4768655361056894E-3</v>
      </c>
    </row>
    <row r="1771" spans="1:5">
      <c r="A1771" s="30">
        <v>44207</v>
      </c>
      <c r="B1771" s="28">
        <v>126.58009300000001</v>
      </c>
      <c r="C1771" s="28">
        <f t="shared" si="36"/>
        <v>-2.352353148659406E-2</v>
      </c>
      <c r="D1771" s="31">
        <v>3799.61</v>
      </c>
      <c r="E1771" s="28">
        <f t="shared" si="36"/>
        <v>-6.5763737616643747E-3</v>
      </c>
    </row>
    <row r="1772" spans="1:5">
      <c r="A1772" s="30">
        <v>44208</v>
      </c>
      <c r="B1772" s="28">
        <v>126.40345000000001</v>
      </c>
      <c r="C1772" s="28">
        <f t="shared" si="36"/>
        <v>-1.3964784160424074E-3</v>
      </c>
      <c r="D1772" s="31">
        <v>3801.19</v>
      </c>
      <c r="E1772" s="28">
        <f t="shared" si="36"/>
        <v>4.1574571696605784E-4</v>
      </c>
    </row>
    <row r="1773" spans="1:5">
      <c r="A1773" s="30">
        <v>44209</v>
      </c>
      <c r="B1773" s="28">
        <v>128.45457500000001</v>
      </c>
      <c r="C1773" s="28">
        <f t="shared" si="36"/>
        <v>1.6096564249135817E-2</v>
      </c>
      <c r="D1773" s="31">
        <v>3809.84</v>
      </c>
      <c r="E1773" s="28">
        <f t="shared" si="36"/>
        <v>2.2730179027713113E-3</v>
      </c>
    </row>
    <row r="1774" spans="1:5">
      <c r="A1774" s="30">
        <v>44210</v>
      </c>
      <c r="B1774" s="28">
        <v>126.511414</v>
      </c>
      <c r="C1774" s="28">
        <f t="shared" si="36"/>
        <v>-1.5242806547034646E-2</v>
      </c>
      <c r="D1774" s="31">
        <v>3795.54</v>
      </c>
      <c r="E1774" s="28">
        <f t="shared" si="36"/>
        <v>-3.7605002910535887E-3</v>
      </c>
    </row>
    <row r="1775" spans="1:5">
      <c r="A1775" s="30">
        <v>44211</v>
      </c>
      <c r="B1775" s="28">
        <v>124.77433000000001</v>
      </c>
      <c r="C1775" s="28">
        <f t="shared" si="36"/>
        <v>-1.3825787670314409E-2</v>
      </c>
      <c r="D1775" s="31">
        <v>3768.25</v>
      </c>
      <c r="E1775" s="28">
        <f t="shared" si="36"/>
        <v>-7.2159905065941393E-3</v>
      </c>
    </row>
    <row r="1776" spans="1:5">
      <c r="A1776" s="30">
        <v>44215</v>
      </c>
      <c r="B1776" s="28">
        <v>125.451492</v>
      </c>
      <c r="C1776" s="28">
        <f t="shared" si="36"/>
        <v>5.412420250385061E-3</v>
      </c>
      <c r="D1776" s="31">
        <v>3798.91</v>
      </c>
      <c r="E1776" s="28">
        <f t="shared" si="36"/>
        <v>8.1034807715100084E-3</v>
      </c>
    </row>
    <row r="1777" spans="1:5">
      <c r="A1777" s="30">
        <v>44216</v>
      </c>
      <c r="B1777" s="28">
        <v>129.573364</v>
      </c>
      <c r="C1777" s="28">
        <f t="shared" si="36"/>
        <v>3.2328072177479031E-2</v>
      </c>
      <c r="D1777" s="31">
        <v>3851.85</v>
      </c>
      <c r="E1777" s="28">
        <f t="shared" si="36"/>
        <v>1.3839368887685784E-2</v>
      </c>
    </row>
    <row r="1778" spans="1:5">
      <c r="A1778" s="30">
        <v>44217</v>
      </c>
      <c r="B1778" s="28">
        <v>134.323273</v>
      </c>
      <c r="C1778" s="28">
        <f t="shared" si="36"/>
        <v>3.6002141551534646E-2</v>
      </c>
      <c r="D1778" s="31">
        <v>3853.07</v>
      </c>
      <c r="E1778" s="28">
        <f t="shared" si="36"/>
        <v>3.1668077285579088E-4</v>
      </c>
    </row>
    <row r="1779" spans="1:5">
      <c r="A1779" s="30">
        <v>44218</v>
      </c>
      <c r="B1779" s="28">
        <v>136.48239100000001</v>
      </c>
      <c r="C1779" s="28">
        <f t="shared" si="36"/>
        <v>1.5946222985065348E-2</v>
      </c>
      <c r="D1779" s="31">
        <v>3841.47</v>
      </c>
      <c r="E1779" s="28">
        <f t="shared" si="36"/>
        <v>-3.0151272949282431E-3</v>
      </c>
    </row>
    <row r="1780" spans="1:5">
      <c r="A1780" s="30">
        <v>44221</v>
      </c>
      <c r="B1780" s="28">
        <v>140.26071200000001</v>
      </c>
      <c r="C1780" s="28">
        <f t="shared" si="36"/>
        <v>2.7307316742453392E-2</v>
      </c>
      <c r="D1780" s="31">
        <v>3855.36</v>
      </c>
      <c r="E1780" s="28">
        <f t="shared" si="36"/>
        <v>3.609282023548102E-3</v>
      </c>
    </row>
    <row r="1781" spans="1:5">
      <c r="A1781" s="30">
        <v>44222</v>
      </c>
      <c r="B1781" s="28">
        <v>140.49627699999999</v>
      </c>
      <c r="C1781" s="28">
        <f t="shared" si="36"/>
        <v>1.6780708192999309E-3</v>
      </c>
      <c r="D1781" s="31">
        <v>3849.62</v>
      </c>
      <c r="E1781" s="28">
        <f t="shared" si="36"/>
        <v>-1.4899457394751568E-3</v>
      </c>
    </row>
    <row r="1782" spans="1:5">
      <c r="A1782" s="30">
        <v>44223</v>
      </c>
      <c r="B1782" s="28">
        <v>139.416718</v>
      </c>
      <c r="C1782" s="28">
        <f t="shared" si="36"/>
        <v>-7.7135708024831046E-3</v>
      </c>
      <c r="D1782" s="31">
        <v>3750.77</v>
      </c>
      <c r="E1782" s="28">
        <f t="shared" si="36"/>
        <v>-2.601328989204868E-2</v>
      </c>
    </row>
    <row r="1783" spans="1:5">
      <c r="A1783" s="30">
        <v>44224</v>
      </c>
      <c r="B1783" s="28">
        <v>134.53919999999999</v>
      </c>
      <c r="C1783" s="28">
        <f t="shared" si="36"/>
        <v>-3.5611813006819266E-2</v>
      </c>
      <c r="D1783" s="31">
        <v>3787.38</v>
      </c>
      <c r="E1783" s="28">
        <f t="shared" si="36"/>
        <v>9.7133349275994544E-3</v>
      </c>
    </row>
    <row r="1784" spans="1:5">
      <c r="A1784" s="30">
        <v>44225</v>
      </c>
      <c r="B1784" s="28">
        <v>129.504684</v>
      </c>
      <c r="C1784" s="28">
        <f t="shared" si="36"/>
        <v>-3.8138556023125617E-2</v>
      </c>
      <c r="D1784" s="31">
        <v>3714.24</v>
      </c>
      <c r="E1784" s="28">
        <f t="shared" si="36"/>
        <v>-1.9500405967127862E-2</v>
      </c>
    </row>
    <row r="1785" spans="1:5">
      <c r="A1785" s="30">
        <v>44228</v>
      </c>
      <c r="B1785" s="28">
        <v>131.644104</v>
      </c>
      <c r="C1785" s="28">
        <f t="shared" si="36"/>
        <v>1.6385049153898518E-2</v>
      </c>
      <c r="D1785" s="31">
        <v>3773.86</v>
      </c>
      <c r="E1785" s="28">
        <f t="shared" si="36"/>
        <v>1.5924269140718334E-2</v>
      </c>
    </row>
    <row r="1786" spans="1:5">
      <c r="A1786" s="30">
        <v>44229</v>
      </c>
      <c r="B1786" s="28">
        <v>132.47828699999999</v>
      </c>
      <c r="C1786" s="28">
        <f t="shared" si="36"/>
        <v>6.3166607761835835E-3</v>
      </c>
      <c r="D1786" s="31">
        <v>3826.31</v>
      </c>
      <c r="E1786" s="28">
        <f t="shared" si="36"/>
        <v>1.3802541965649213E-2</v>
      </c>
    </row>
    <row r="1787" spans="1:5">
      <c r="A1787" s="30">
        <v>44230</v>
      </c>
      <c r="B1787" s="28">
        <v>131.44781499999999</v>
      </c>
      <c r="C1787" s="28">
        <f t="shared" si="36"/>
        <v>-7.8088315518356193E-3</v>
      </c>
      <c r="D1787" s="31">
        <v>3830.17</v>
      </c>
      <c r="E1787" s="28">
        <f t="shared" si="36"/>
        <v>1.0082963259948519E-3</v>
      </c>
    </row>
    <row r="1788" spans="1:5">
      <c r="A1788" s="30">
        <v>44231</v>
      </c>
      <c r="B1788" s="28">
        <v>134.83358799999999</v>
      </c>
      <c r="C1788" s="28">
        <f t="shared" si="36"/>
        <v>2.5431407832303715E-2</v>
      </c>
      <c r="D1788" s="31">
        <v>3871.74</v>
      </c>
      <c r="E1788" s="28">
        <f t="shared" si="36"/>
        <v>1.0794829768938023E-2</v>
      </c>
    </row>
    <row r="1789" spans="1:5">
      <c r="A1789" s="30">
        <v>44232</v>
      </c>
      <c r="B1789" s="28">
        <v>134.41587799999999</v>
      </c>
      <c r="C1789" s="28">
        <f t="shared" si="36"/>
        <v>-3.1027755881627176E-3</v>
      </c>
      <c r="D1789" s="31">
        <v>3886.83</v>
      </c>
      <c r="E1789" s="28">
        <f t="shared" si="36"/>
        <v>3.8898969855535024E-3</v>
      </c>
    </row>
    <row r="1790" spans="1:5">
      <c r="A1790" s="30">
        <v>44235</v>
      </c>
      <c r="B1790" s="28">
        <v>134.563354</v>
      </c>
      <c r="C1790" s="28">
        <f t="shared" si="36"/>
        <v>1.096560605672872E-3</v>
      </c>
      <c r="D1790" s="31">
        <v>3915.59</v>
      </c>
      <c r="E1790" s="28">
        <f t="shared" si="36"/>
        <v>7.3721051298863676E-3</v>
      </c>
    </row>
    <row r="1791" spans="1:5">
      <c r="A1791" s="30">
        <v>44236</v>
      </c>
      <c r="B1791" s="28">
        <v>133.67877200000001</v>
      </c>
      <c r="C1791" s="28">
        <f t="shared" si="36"/>
        <v>-6.595423468860535E-3</v>
      </c>
      <c r="D1791" s="31">
        <v>3911.23</v>
      </c>
      <c r="E1791" s="28">
        <f t="shared" si="36"/>
        <v>-1.1141179817578345E-3</v>
      </c>
    </row>
    <row r="1792" spans="1:5">
      <c r="A1792" s="30">
        <v>44237</v>
      </c>
      <c r="B1792" s="28">
        <v>133.06938199999999</v>
      </c>
      <c r="C1792" s="28">
        <f t="shared" si="36"/>
        <v>-4.569036756220949E-3</v>
      </c>
      <c r="D1792" s="31">
        <v>3909.88</v>
      </c>
      <c r="E1792" s="28">
        <f t="shared" si="36"/>
        <v>-3.4521954387729651E-4</v>
      </c>
    </row>
    <row r="1793" spans="1:5">
      <c r="A1793" s="30">
        <v>44238</v>
      </c>
      <c r="B1793" s="28">
        <v>132.81384299999999</v>
      </c>
      <c r="C1793" s="28">
        <f t="shared" si="36"/>
        <v>-1.9221903050166374E-3</v>
      </c>
      <c r="D1793" s="31">
        <v>3916.38</v>
      </c>
      <c r="E1793" s="28">
        <f t="shared" si="36"/>
        <v>1.6610747648429303E-3</v>
      </c>
    </row>
    <row r="1794" spans="1:5">
      <c r="A1794" s="30">
        <v>44239</v>
      </c>
      <c r="B1794" s="28">
        <v>133.049713</v>
      </c>
      <c r="C1794" s="28">
        <f t="shared" si="36"/>
        <v>1.7743692699586006E-3</v>
      </c>
      <c r="D1794" s="31">
        <v>3934.83</v>
      </c>
      <c r="E1794" s="28">
        <f t="shared" si="36"/>
        <v>4.6999211490260486E-3</v>
      </c>
    </row>
    <row r="1795" spans="1:5">
      <c r="A1795" s="30">
        <v>44243</v>
      </c>
      <c r="B1795" s="28">
        <v>130.907104</v>
      </c>
      <c r="C1795" s="28">
        <f t="shared" si="36"/>
        <v>-1.6234898458854237E-2</v>
      </c>
      <c r="D1795" s="31">
        <v>3932.59</v>
      </c>
      <c r="E1795" s="28">
        <f t="shared" si="36"/>
        <v>-5.6943700997991403E-4</v>
      </c>
    </row>
    <row r="1796" spans="1:5">
      <c r="A1796" s="30">
        <v>44244</v>
      </c>
      <c r="B1796" s="28">
        <v>128.59738200000001</v>
      </c>
      <c r="C1796" s="28">
        <f t="shared" si="36"/>
        <v>-1.7801487980705275E-2</v>
      </c>
      <c r="D1796" s="31">
        <v>3931.33</v>
      </c>
      <c r="E1796" s="28">
        <f t="shared" si="36"/>
        <v>-3.2045087202880161E-4</v>
      </c>
    </row>
    <row r="1797" spans="1:5">
      <c r="A1797" s="30">
        <v>44245</v>
      </c>
      <c r="B1797" s="28">
        <v>127.486755</v>
      </c>
      <c r="C1797" s="28">
        <f t="shared" ref="C1797:E1860" si="37">LN(B1797/B1796)</f>
        <v>-8.6739770486147609E-3</v>
      </c>
      <c r="D1797" s="31">
        <v>3913.97</v>
      </c>
      <c r="E1797" s="28">
        <f t="shared" si="37"/>
        <v>-4.4255868696270202E-3</v>
      </c>
    </row>
    <row r="1798" spans="1:5">
      <c r="A1798" s="30">
        <v>44246</v>
      </c>
      <c r="B1798" s="28">
        <v>127.643974</v>
      </c>
      <c r="C1798" s="28">
        <f t="shared" si="37"/>
        <v>1.2324585165960932E-3</v>
      </c>
      <c r="D1798" s="31">
        <v>3906.71</v>
      </c>
      <c r="E1798" s="28">
        <f t="shared" si="37"/>
        <v>-1.8566165820490526E-3</v>
      </c>
    </row>
    <row r="1799" spans="1:5">
      <c r="A1799" s="30">
        <v>44249</v>
      </c>
      <c r="B1799" s="28">
        <v>123.840309</v>
      </c>
      <c r="C1799" s="28">
        <f t="shared" si="37"/>
        <v>-3.0252030372647513E-2</v>
      </c>
      <c r="D1799" s="31">
        <v>3876.5</v>
      </c>
      <c r="E1799" s="28">
        <f t="shared" si="37"/>
        <v>-7.7629028925333757E-3</v>
      </c>
    </row>
    <row r="1800" spans="1:5">
      <c r="A1800" s="30">
        <v>44250</v>
      </c>
      <c r="B1800" s="28">
        <v>123.70272799999999</v>
      </c>
      <c r="C1800" s="28">
        <f t="shared" si="37"/>
        <v>-1.1115724831815416E-3</v>
      </c>
      <c r="D1800" s="31">
        <v>3881.37</v>
      </c>
      <c r="E1800" s="28">
        <f t="shared" si="37"/>
        <v>1.2554994192235645E-3</v>
      </c>
    </row>
    <row r="1801" spans="1:5">
      <c r="A1801" s="30">
        <v>44251</v>
      </c>
      <c r="B1801" s="28">
        <v>123.201477</v>
      </c>
      <c r="C1801" s="28">
        <f t="shared" si="37"/>
        <v>-4.060292846241465E-3</v>
      </c>
      <c r="D1801" s="31">
        <v>3925.43</v>
      </c>
      <c r="E1801" s="28">
        <f t="shared" si="37"/>
        <v>1.1287715277782164E-2</v>
      </c>
    </row>
    <row r="1802" spans="1:5">
      <c r="A1802" s="30">
        <v>44252</v>
      </c>
      <c r="B1802" s="28">
        <v>118.916191</v>
      </c>
      <c r="C1802" s="28">
        <f t="shared" si="37"/>
        <v>-3.5402071983083837E-2</v>
      </c>
      <c r="D1802" s="31">
        <v>3829.34</v>
      </c>
      <c r="E1802" s="28">
        <f t="shared" si="37"/>
        <v>-2.4783434790564104E-2</v>
      </c>
    </row>
    <row r="1803" spans="1:5">
      <c r="A1803" s="30">
        <v>44253</v>
      </c>
      <c r="B1803" s="28">
        <v>119.18158</v>
      </c>
      <c r="C1803" s="28">
        <f t="shared" si="37"/>
        <v>2.2292448080493588E-3</v>
      </c>
      <c r="D1803" s="31">
        <v>3811.15</v>
      </c>
      <c r="E1803" s="28">
        <f t="shared" si="37"/>
        <v>-4.7614837180722748E-3</v>
      </c>
    </row>
    <row r="1804" spans="1:5">
      <c r="A1804" s="30">
        <v>44256</v>
      </c>
      <c r="B1804" s="28">
        <v>125.599632</v>
      </c>
      <c r="C1804" s="28">
        <f t="shared" si="37"/>
        <v>5.2451111604614964E-2</v>
      </c>
      <c r="D1804" s="31">
        <v>3901.82</v>
      </c>
      <c r="E1804" s="28">
        <f t="shared" si="37"/>
        <v>2.3512130081996933E-2</v>
      </c>
    </row>
    <row r="1805" spans="1:5">
      <c r="A1805" s="30">
        <v>44257</v>
      </c>
      <c r="B1805" s="28">
        <v>122.97541</v>
      </c>
      <c r="C1805" s="28">
        <f t="shared" si="37"/>
        <v>-2.1114907406676819E-2</v>
      </c>
      <c r="D1805" s="31">
        <v>3870.29</v>
      </c>
      <c r="E1805" s="28">
        <f t="shared" si="37"/>
        <v>-8.113671312552936E-3</v>
      </c>
    </row>
    <row r="1806" spans="1:5">
      <c r="A1806" s="30">
        <v>44258</v>
      </c>
      <c r="B1806" s="28">
        <v>119.967865</v>
      </c>
      <c r="C1806" s="28">
        <f t="shared" si="37"/>
        <v>-2.4760501434035138E-2</v>
      </c>
      <c r="D1806" s="31">
        <v>3819.72</v>
      </c>
      <c r="E1806" s="28">
        <f t="shared" si="37"/>
        <v>-1.3152318131987126E-2</v>
      </c>
    </row>
    <row r="1807" spans="1:5">
      <c r="A1807" s="30">
        <v>44259</v>
      </c>
      <c r="B1807" s="28">
        <v>118.07094600000001</v>
      </c>
      <c r="C1807" s="28">
        <f t="shared" si="37"/>
        <v>-1.5938234169712628E-2</v>
      </c>
      <c r="D1807" s="31">
        <v>3768.47</v>
      </c>
      <c r="E1807" s="28">
        <f t="shared" si="37"/>
        <v>-1.3508037960082262E-2</v>
      </c>
    </row>
    <row r="1808" spans="1:5">
      <c r="A1808" s="30">
        <v>44260</v>
      </c>
      <c r="B1808" s="28">
        <v>119.338829</v>
      </c>
      <c r="C1808" s="28">
        <f t="shared" si="37"/>
        <v>1.0681068661730459E-2</v>
      </c>
      <c r="D1808" s="31">
        <v>3841.94</v>
      </c>
      <c r="E1808" s="28">
        <f t="shared" si="37"/>
        <v>1.9308363815583877E-2</v>
      </c>
    </row>
    <row r="1809" spans="1:5">
      <c r="A1809" s="30">
        <v>44263</v>
      </c>
      <c r="B1809" s="28">
        <v>114.36554</v>
      </c>
      <c r="C1809" s="28">
        <f t="shared" si="37"/>
        <v>-4.2566939952326757E-2</v>
      </c>
      <c r="D1809" s="31">
        <v>3821.35</v>
      </c>
      <c r="E1809" s="28">
        <f t="shared" si="37"/>
        <v>-5.3736840305412389E-3</v>
      </c>
    </row>
    <row r="1810" spans="1:5">
      <c r="A1810" s="30">
        <v>44264</v>
      </c>
      <c r="B1810" s="28">
        <v>119.014503</v>
      </c>
      <c r="C1810" s="28">
        <f t="shared" si="37"/>
        <v>3.9845549842603495E-2</v>
      </c>
      <c r="D1810" s="31">
        <v>3875.44</v>
      </c>
      <c r="E1810" s="28">
        <f t="shared" si="37"/>
        <v>1.4055441418613446E-2</v>
      </c>
    </row>
    <row r="1811" spans="1:5">
      <c r="A1811" s="30">
        <v>44265</v>
      </c>
      <c r="B1811" s="28">
        <v>117.92351499999999</v>
      </c>
      <c r="C1811" s="28">
        <f t="shared" si="37"/>
        <v>-9.2091232936758541E-3</v>
      </c>
      <c r="D1811" s="31">
        <v>3898.81</v>
      </c>
      <c r="E1811" s="28">
        <f t="shared" si="37"/>
        <v>6.0121736231132121E-3</v>
      </c>
    </row>
    <row r="1812" spans="1:5">
      <c r="A1812" s="30">
        <v>44266</v>
      </c>
      <c r="B1812" s="28">
        <v>119.869576</v>
      </c>
      <c r="C1812" s="28">
        <f t="shared" si="37"/>
        <v>1.6368048706083185E-2</v>
      </c>
      <c r="D1812" s="31">
        <v>3939.34</v>
      </c>
      <c r="E1812" s="28">
        <f t="shared" si="37"/>
        <v>1.0341818218279307E-2</v>
      </c>
    </row>
    <row r="1813" spans="1:5">
      <c r="A1813" s="30">
        <v>44267</v>
      </c>
      <c r="B1813" s="28">
        <v>118.95549800000001</v>
      </c>
      <c r="C1813" s="28">
        <f t="shared" si="37"/>
        <v>-7.6548282653826549E-3</v>
      </c>
      <c r="D1813" s="31">
        <v>3943.34</v>
      </c>
      <c r="E1813" s="28">
        <f t="shared" si="37"/>
        <v>1.0148833501624158E-3</v>
      </c>
    </row>
    <row r="1814" spans="1:5">
      <c r="A1814" s="30">
        <v>44270</v>
      </c>
      <c r="B1814" s="28">
        <v>121.864777</v>
      </c>
      <c r="C1814" s="28">
        <f t="shared" si="37"/>
        <v>2.4162587992052696E-2</v>
      </c>
      <c r="D1814" s="31">
        <v>3968.94</v>
      </c>
      <c r="E1814" s="28">
        <f t="shared" si="37"/>
        <v>6.4709765908568051E-3</v>
      </c>
    </row>
    <row r="1815" spans="1:5">
      <c r="A1815" s="30">
        <v>44271</v>
      </c>
      <c r="B1815" s="28">
        <v>123.41770200000001</v>
      </c>
      <c r="C1815" s="28">
        <f t="shared" si="37"/>
        <v>1.2662508596852431E-2</v>
      </c>
      <c r="D1815" s="31">
        <v>3962.71</v>
      </c>
      <c r="E1815" s="28">
        <f t="shared" si="37"/>
        <v>-1.5709218841469892E-3</v>
      </c>
    </row>
    <row r="1816" spans="1:5">
      <c r="A1816" s="30">
        <v>44272</v>
      </c>
      <c r="B1816" s="28">
        <v>122.62159</v>
      </c>
      <c r="C1816" s="28">
        <f t="shared" si="37"/>
        <v>-6.4714442309627713E-3</v>
      </c>
      <c r="D1816" s="31">
        <v>3974.12</v>
      </c>
      <c r="E1816" s="28">
        <f t="shared" si="37"/>
        <v>2.8752053049775832E-3</v>
      </c>
    </row>
    <row r="1817" spans="1:5">
      <c r="A1817" s="30">
        <v>44273</v>
      </c>
      <c r="B1817" s="28">
        <v>118.46408099999999</v>
      </c>
      <c r="C1817" s="28">
        <f t="shared" si="37"/>
        <v>-3.4493308437225638E-2</v>
      </c>
      <c r="D1817" s="31">
        <v>3915.46</v>
      </c>
      <c r="E1817" s="28">
        <f t="shared" si="37"/>
        <v>-1.4870520601810135E-2</v>
      </c>
    </row>
    <row r="1818" spans="1:5">
      <c r="A1818" s="30">
        <v>44274</v>
      </c>
      <c r="B1818" s="28">
        <v>117.933342</v>
      </c>
      <c r="C1818" s="28">
        <f t="shared" si="37"/>
        <v>-4.4902341574057491E-3</v>
      </c>
      <c r="D1818" s="31">
        <v>3913.1</v>
      </c>
      <c r="E1818" s="28">
        <f t="shared" si="37"/>
        <v>-6.0292060646939332E-4</v>
      </c>
    </row>
    <row r="1819" spans="1:5">
      <c r="A1819" s="30">
        <v>44277</v>
      </c>
      <c r="B1819" s="28">
        <v>121.27507</v>
      </c>
      <c r="C1819" s="28">
        <f t="shared" si="37"/>
        <v>2.7941704786272208E-2</v>
      </c>
      <c r="D1819" s="31">
        <v>3940.59</v>
      </c>
      <c r="E1819" s="28">
        <f t="shared" si="37"/>
        <v>7.0005595506540804E-3</v>
      </c>
    </row>
    <row r="1820" spans="1:5">
      <c r="A1820" s="30">
        <v>44278</v>
      </c>
      <c r="B1820" s="28">
        <v>120.43963599999999</v>
      </c>
      <c r="C1820" s="28">
        <f t="shared" si="37"/>
        <v>-6.9125899744684298E-3</v>
      </c>
      <c r="D1820" s="31">
        <v>3910.52</v>
      </c>
      <c r="E1820" s="28">
        <f t="shared" si="37"/>
        <v>-7.6601008099493138E-3</v>
      </c>
    </row>
    <row r="1821" spans="1:5">
      <c r="A1821" s="30">
        <v>44279</v>
      </c>
      <c r="B1821" s="28">
        <v>118.031616</v>
      </c>
      <c r="C1821" s="28">
        <f t="shared" si="37"/>
        <v>-2.0196160575590448E-2</v>
      </c>
      <c r="D1821" s="31">
        <v>3889.14</v>
      </c>
      <c r="E1821" s="28">
        <f t="shared" si="37"/>
        <v>-5.4823039848238466E-3</v>
      </c>
    </row>
    <row r="1822" spans="1:5">
      <c r="A1822" s="30">
        <v>44280</v>
      </c>
      <c r="B1822" s="28">
        <v>118.523048</v>
      </c>
      <c r="C1822" s="28">
        <f t="shared" si="37"/>
        <v>4.1549187715868695E-3</v>
      </c>
      <c r="D1822" s="31">
        <v>3909.52</v>
      </c>
      <c r="E1822" s="28">
        <f t="shared" si="37"/>
        <v>5.2265508159267142E-3</v>
      </c>
    </row>
    <row r="1823" spans="1:5">
      <c r="A1823" s="30">
        <v>44281</v>
      </c>
      <c r="B1823" s="28">
        <v>119.132431</v>
      </c>
      <c r="C1823" s="28">
        <f t="shared" si="37"/>
        <v>5.1283003287007599E-3</v>
      </c>
      <c r="D1823" s="31">
        <v>3974.54</v>
      </c>
      <c r="E1823" s="28">
        <f t="shared" si="37"/>
        <v>1.6494413826353246E-2</v>
      </c>
    </row>
    <row r="1824" spans="1:5">
      <c r="A1824" s="30">
        <v>44284</v>
      </c>
      <c r="B1824" s="28">
        <v>119.309341</v>
      </c>
      <c r="C1824" s="28">
        <f t="shared" si="37"/>
        <v>1.4838845641670052E-3</v>
      </c>
      <c r="D1824" s="31">
        <v>3971.09</v>
      </c>
      <c r="E1824" s="28">
        <f t="shared" si="37"/>
        <v>-8.6840193082478952E-4</v>
      </c>
    </row>
    <row r="1825" spans="1:5">
      <c r="A1825" s="30">
        <v>44285</v>
      </c>
      <c r="B1825" s="28">
        <v>117.844887</v>
      </c>
      <c r="C1825" s="28">
        <f t="shared" si="37"/>
        <v>-1.2350381664868269E-2</v>
      </c>
      <c r="D1825" s="31">
        <v>3958.55</v>
      </c>
      <c r="E1825" s="28">
        <f t="shared" si="37"/>
        <v>-3.1628196118815713E-3</v>
      </c>
    </row>
    <row r="1826" spans="1:5">
      <c r="A1826" s="30">
        <v>44286</v>
      </c>
      <c r="B1826" s="28">
        <v>120.056313</v>
      </c>
      <c r="C1826" s="28">
        <f t="shared" si="37"/>
        <v>1.859166492575064E-2</v>
      </c>
      <c r="D1826" s="31">
        <v>3972.89</v>
      </c>
      <c r="E1826" s="28">
        <f t="shared" si="37"/>
        <v>3.6159929659948988E-3</v>
      </c>
    </row>
    <row r="1827" spans="1:5">
      <c r="A1827" s="30">
        <v>44287</v>
      </c>
      <c r="B1827" s="28">
        <v>120.891747</v>
      </c>
      <c r="C1827" s="28">
        <f t="shared" si="37"/>
        <v>6.9345845564563972E-3</v>
      </c>
      <c r="D1827" s="31">
        <v>4019.87</v>
      </c>
      <c r="E1827" s="28">
        <f t="shared" si="37"/>
        <v>1.1755774236888511E-2</v>
      </c>
    </row>
    <row r="1828" spans="1:5">
      <c r="A1828" s="30">
        <v>44291</v>
      </c>
      <c r="B1828" s="28">
        <v>123.742043</v>
      </c>
      <c r="C1828" s="28">
        <f t="shared" si="37"/>
        <v>2.3303608128206796E-2</v>
      </c>
      <c r="D1828" s="31">
        <v>4077.91</v>
      </c>
      <c r="E1828" s="28">
        <f t="shared" si="37"/>
        <v>1.4335038467166317E-2</v>
      </c>
    </row>
    <row r="1829" spans="1:5">
      <c r="A1829" s="30">
        <v>44292</v>
      </c>
      <c r="B1829" s="28">
        <v>124.046738</v>
      </c>
      <c r="C1829" s="28">
        <f t="shared" si="37"/>
        <v>2.4593135519879292E-3</v>
      </c>
      <c r="D1829" s="31">
        <v>4073.94</v>
      </c>
      <c r="E1829" s="28">
        <f t="shared" si="37"/>
        <v>-9.7401211108184122E-4</v>
      </c>
    </row>
    <row r="1830" spans="1:5">
      <c r="A1830" s="30">
        <v>44293</v>
      </c>
      <c r="B1830" s="28">
        <v>125.707779</v>
      </c>
      <c r="C1830" s="28">
        <f t="shared" si="37"/>
        <v>1.3301585179284403E-2</v>
      </c>
      <c r="D1830" s="31">
        <v>4079.95</v>
      </c>
      <c r="E1830" s="28">
        <f t="shared" si="37"/>
        <v>1.4741432833555816E-3</v>
      </c>
    </row>
    <row r="1831" spans="1:5">
      <c r="A1831" s="30">
        <v>44294</v>
      </c>
      <c r="B1831" s="28">
        <v>128.12560999999999</v>
      </c>
      <c r="C1831" s="28">
        <f t="shared" si="37"/>
        <v>1.9051111734044703E-2</v>
      </c>
      <c r="D1831" s="31">
        <v>4097.17</v>
      </c>
      <c r="E1831" s="28">
        <f t="shared" si="37"/>
        <v>4.2117580408072355E-3</v>
      </c>
    </row>
    <row r="1832" spans="1:5">
      <c r="A1832" s="30">
        <v>44295</v>
      </c>
      <c r="B1832" s="28">
        <v>130.720337</v>
      </c>
      <c r="C1832" s="28">
        <f t="shared" si="37"/>
        <v>2.0049098280796384E-2</v>
      </c>
      <c r="D1832" s="31">
        <v>4128.8</v>
      </c>
      <c r="E1832" s="28">
        <f t="shared" si="37"/>
        <v>7.6903163725556868E-3</v>
      </c>
    </row>
    <row r="1833" spans="1:5">
      <c r="A1833" s="30">
        <v>44298</v>
      </c>
      <c r="B1833" s="28">
        <v>128.990509</v>
      </c>
      <c r="C1833" s="28">
        <f t="shared" si="37"/>
        <v>-1.3321381126157375E-2</v>
      </c>
      <c r="D1833" s="31">
        <v>4127.99</v>
      </c>
      <c r="E1833" s="28">
        <f t="shared" si="37"/>
        <v>-1.9620215667317165E-4</v>
      </c>
    </row>
    <row r="1834" spans="1:5">
      <c r="A1834" s="30">
        <v>44299</v>
      </c>
      <c r="B1834" s="28">
        <v>132.12583900000001</v>
      </c>
      <c r="C1834" s="28">
        <f t="shared" si="37"/>
        <v>2.4015966205955971E-2</v>
      </c>
      <c r="D1834" s="31">
        <v>4141.59</v>
      </c>
      <c r="E1834" s="28">
        <f t="shared" si="37"/>
        <v>3.289166381145364E-3</v>
      </c>
    </row>
    <row r="1835" spans="1:5">
      <c r="A1835" s="30">
        <v>44300</v>
      </c>
      <c r="B1835" s="28">
        <v>129.76696799999999</v>
      </c>
      <c r="C1835" s="28">
        <f t="shared" si="37"/>
        <v>-1.8014506155320333E-2</v>
      </c>
      <c r="D1835" s="31">
        <v>4124.66</v>
      </c>
      <c r="E1835" s="28">
        <f t="shared" si="37"/>
        <v>-4.0961799296970009E-3</v>
      </c>
    </row>
    <row r="1836" spans="1:5">
      <c r="A1836" s="30">
        <v>44301</v>
      </c>
      <c r="B1836" s="28">
        <v>132.19464099999999</v>
      </c>
      <c r="C1836" s="28">
        <f t="shared" si="37"/>
        <v>1.8535101468660123E-2</v>
      </c>
      <c r="D1836" s="31">
        <v>4170.42</v>
      </c>
      <c r="E1836" s="28">
        <f t="shared" si="37"/>
        <v>1.1033158016154329E-2</v>
      </c>
    </row>
    <row r="1837" spans="1:5">
      <c r="A1837" s="30">
        <v>44302</v>
      </c>
      <c r="B1837" s="28">
        <v>131.86045799999999</v>
      </c>
      <c r="C1837" s="28">
        <f t="shared" si="37"/>
        <v>-2.5311624709040146E-3</v>
      </c>
      <c r="D1837" s="31">
        <v>4185.47</v>
      </c>
      <c r="E1837" s="28">
        <f t="shared" si="37"/>
        <v>3.6022533265398387E-3</v>
      </c>
    </row>
    <row r="1838" spans="1:5">
      <c r="A1838" s="30">
        <v>44305</v>
      </c>
      <c r="B1838" s="28">
        <v>132.52879300000001</v>
      </c>
      <c r="C1838" s="28">
        <f t="shared" si="37"/>
        <v>5.0557004192194272E-3</v>
      </c>
      <c r="D1838" s="31">
        <v>4163.26</v>
      </c>
      <c r="E1838" s="28">
        <f t="shared" si="37"/>
        <v>-5.3205822668759327E-3</v>
      </c>
    </row>
    <row r="1839" spans="1:5">
      <c r="A1839" s="30">
        <v>44306</v>
      </c>
      <c r="B1839" s="28">
        <v>130.82847599999999</v>
      </c>
      <c r="C1839" s="28">
        <f t="shared" si="37"/>
        <v>-1.2912805728686758E-2</v>
      </c>
      <c r="D1839" s="31">
        <v>4134.9399999999996</v>
      </c>
      <c r="E1839" s="28">
        <f t="shared" si="37"/>
        <v>-6.8256031307080047E-3</v>
      </c>
    </row>
    <row r="1840" spans="1:5">
      <c r="A1840" s="30">
        <v>44307</v>
      </c>
      <c r="B1840" s="28">
        <v>131.21177700000001</v>
      </c>
      <c r="C1840" s="28">
        <f t="shared" si="37"/>
        <v>2.925514450466943E-3</v>
      </c>
      <c r="D1840" s="31">
        <v>4173.42</v>
      </c>
      <c r="E1840" s="28">
        <f t="shared" si="37"/>
        <v>9.2630254691135495E-3</v>
      </c>
    </row>
    <row r="1841" spans="1:5">
      <c r="A1841" s="30">
        <v>44308</v>
      </c>
      <c r="B1841" s="28">
        <v>129.67849699999999</v>
      </c>
      <c r="C1841" s="28">
        <f t="shared" si="37"/>
        <v>-1.1754348908583432E-2</v>
      </c>
      <c r="D1841" s="31">
        <v>4134.9799999999996</v>
      </c>
      <c r="E1841" s="28">
        <f t="shared" si="37"/>
        <v>-9.2533518567931589E-3</v>
      </c>
    </row>
    <row r="1842" spans="1:5">
      <c r="A1842" s="30">
        <v>44309</v>
      </c>
      <c r="B1842" s="28">
        <v>132.017731</v>
      </c>
      <c r="C1842" s="28">
        <f t="shared" si="37"/>
        <v>1.7877952030654017E-2</v>
      </c>
      <c r="D1842" s="31">
        <v>4180.17</v>
      </c>
      <c r="E1842" s="28">
        <f t="shared" si="37"/>
        <v>1.0869423861541933E-2</v>
      </c>
    </row>
    <row r="1843" spans="1:5">
      <c r="A1843" s="30">
        <v>44312</v>
      </c>
      <c r="B1843" s="28">
        <v>132.41087300000001</v>
      </c>
      <c r="C1843" s="28">
        <f t="shared" si="37"/>
        <v>2.9735231644974283E-3</v>
      </c>
      <c r="D1843" s="31">
        <v>4187.62</v>
      </c>
      <c r="E1843" s="28">
        <f t="shared" si="37"/>
        <v>1.7806378908788009E-3</v>
      </c>
    </row>
    <row r="1844" spans="1:5">
      <c r="A1844" s="30">
        <v>44313</v>
      </c>
      <c r="B1844" s="28">
        <v>132.086533</v>
      </c>
      <c r="C1844" s="28">
        <f t="shared" si="37"/>
        <v>-2.4525016518993381E-3</v>
      </c>
      <c r="D1844" s="31">
        <v>4186.72</v>
      </c>
      <c r="E1844" s="28">
        <f t="shared" si="37"/>
        <v>-2.1494231269923608E-4</v>
      </c>
    </row>
    <row r="1845" spans="1:5">
      <c r="A1845" s="30">
        <v>44314</v>
      </c>
      <c r="B1845" s="28">
        <v>131.29040499999999</v>
      </c>
      <c r="C1845" s="28">
        <f t="shared" si="37"/>
        <v>-6.0455591202228098E-3</v>
      </c>
      <c r="D1845" s="31">
        <v>4183.18</v>
      </c>
      <c r="E1845" s="28">
        <f t="shared" si="37"/>
        <v>-8.4588829283031668E-4</v>
      </c>
    </row>
    <row r="1846" spans="1:5">
      <c r="A1846" s="30">
        <v>44315</v>
      </c>
      <c r="B1846" s="28">
        <v>131.19210799999999</v>
      </c>
      <c r="C1846" s="28">
        <f t="shared" si="37"/>
        <v>-7.4897945369136669E-4</v>
      </c>
      <c r="D1846" s="31">
        <v>4211.47</v>
      </c>
      <c r="E1846" s="28">
        <f t="shared" si="37"/>
        <v>6.7400325437081072E-3</v>
      </c>
    </row>
    <row r="1847" spans="1:5">
      <c r="A1847" s="30">
        <v>44316</v>
      </c>
      <c r="B1847" s="28">
        <v>129.206772</v>
      </c>
      <c r="C1847" s="28">
        <f t="shared" si="37"/>
        <v>-1.5248717426161882E-2</v>
      </c>
      <c r="D1847" s="31">
        <v>4181.17</v>
      </c>
      <c r="E1847" s="28">
        <f t="shared" si="37"/>
        <v>-7.2206437182024286E-3</v>
      </c>
    </row>
    <row r="1848" spans="1:5">
      <c r="A1848" s="30">
        <v>44319</v>
      </c>
      <c r="B1848" s="28">
        <v>130.268204</v>
      </c>
      <c r="C1848" s="28">
        <f t="shared" si="37"/>
        <v>8.1814280282678578E-3</v>
      </c>
      <c r="D1848" s="31">
        <v>4192.66</v>
      </c>
      <c r="E1848" s="28">
        <f t="shared" si="37"/>
        <v>2.7442656970409606E-3</v>
      </c>
    </row>
    <row r="1849" spans="1:5">
      <c r="A1849" s="30">
        <v>44320</v>
      </c>
      <c r="B1849" s="28">
        <v>125.658607</v>
      </c>
      <c r="C1849" s="28">
        <f t="shared" si="37"/>
        <v>-3.602667141920804E-2</v>
      </c>
      <c r="D1849" s="31">
        <v>4164.66</v>
      </c>
      <c r="E1849" s="28">
        <f t="shared" si="37"/>
        <v>-6.7007377404054557E-3</v>
      </c>
    </row>
    <row r="1850" spans="1:5">
      <c r="A1850" s="30">
        <v>44321</v>
      </c>
      <c r="B1850" s="28">
        <v>125.904343</v>
      </c>
      <c r="C1850" s="28">
        <f t="shared" si="37"/>
        <v>1.9536746421627308E-3</v>
      </c>
      <c r="D1850" s="31">
        <v>4167.59</v>
      </c>
      <c r="E1850" s="28">
        <f t="shared" si="37"/>
        <v>7.0329145687402232E-4</v>
      </c>
    </row>
    <row r="1851" spans="1:5">
      <c r="A1851" s="30">
        <v>44322</v>
      </c>
      <c r="B1851" s="28">
        <v>127.51623499999999</v>
      </c>
      <c r="C1851" s="28">
        <f t="shared" si="37"/>
        <v>1.2721253738819053E-2</v>
      </c>
      <c r="D1851" s="31">
        <v>4201.62</v>
      </c>
      <c r="E1851" s="28">
        <f t="shared" si="37"/>
        <v>8.1322341159119176E-3</v>
      </c>
    </row>
    <row r="1852" spans="1:5">
      <c r="A1852" s="30">
        <v>44323</v>
      </c>
      <c r="B1852" s="28">
        <v>128.19554099999999</v>
      </c>
      <c r="C1852" s="28">
        <f t="shared" si="37"/>
        <v>5.3130724647989834E-3</v>
      </c>
      <c r="D1852" s="31">
        <v>4232.6000000000004</v>
      </c>
      <c r="E1852" s="28">
        <f t="shared" si="37"/>
        <v>7.3462962378118236E-3</v>
      </c>
    </row>
    <row r="1853" spans="1:5">
      <c r="A1853" s="30">
        <v>44326</v>
      </c>
      <c r="B1853" s="28">
        <v>124.88752700000001</v>
      </c>
      <c r="C1853" s="28">
        <f t="shared" si="37"/>
        <v>-2.6143214036723636E-2</v>
      </c>
      <c r="D1853" s="31">
        <v>4188.43</v>
      </c>
      <c r="E1853" s="28">
        <f t="shared" si="37"/>
        <v>-1.0490499399026396E-2</v>
      </c>
    </row>
    <row r="1854" spans="1:5">
      <c r="A1854" s="30">
        <v>44327</v>
      </c>
      <c r="B1854" s="28">
        <v>123.962082</v>
      </c>
      <c r="C1854" s="28">
        <f t="shared" si="37"/>
        <v>-7.4378197346266998E-3</v>
      </c>
      <c r="D1854" s="31">
        <v>4152.1000000000004</v>
      </c>
      <c r="E1854" s="28">
        <f t="shared" si="37"/>
        <v>-8.711731693215893E-3</v>
      </c>
    </row>
    <row r="1855" spans="1:5">
      <c r="A1855" s="30">
        <v>44328</v>
      </c>
      <c r="B1855" s="28">
        <v>120.870651</v>
      </c>
      <c r="C1855" s="28">
        <f t="shared" si="37"/>
        <v>-2.525475471035157E-2</v>
      </c>
      <c r="D1855" s="31">
        <v>4063.04</v>
      </c>
      <c r="E1855" s="28">
        <f t="shared" si="37"/>
        <v>-2.1682768452684537E-2</v>
      </c>
    </row>
    <row r="1856" spans="1:5">
      <c r="A1856" s="30">
        <v>44329</v>
      </c>
      <c r="B1856" s="28">
        <v>123.036621</v>
      </c>
      <c r="C1856" s="28">
        <f t="shared" si="37"/>
        <v>1.776106895773481E-2</v>
      </c>
      <c r="D1856" s="31">
        <v>4112.5</v>
      </c>
      <c r="E1856" s="28">
        <f t="shared" si="37"/>
        <v>1.2099654192200689E-2</v>
      </c>
    </row>
    <row r="1857" spans="1:5">
      <c r="A1857" s="30">
        <v>44330</v>
      </c>
      <c r="B1857" s="28">
        <v>125.47824900000001</v>
      </c>
      <c r="C1857" s="28">
        <f t="shared" si="37"/>
        <v>1.9650386043622358E-2</v>
      </c>
      <c r="D1857" s="31">
        <v>4173.8500000000004</v>
      </c>
      <c r="E1857" s="28">
        <f t="shared" si="37"/>
        <v>1.480775516646066E-2</v>
      </c>
    </row>
    <row r="1858" spans="1:5">
      <c r="A1858" s="30">
        <v>44333</v>
      </c>
      <c r="B1858" s="28">
        <v>124.31650500000001</v>
      </c>
      <c r="C1858" s="28">
        <f t="shared" si="37"/>
        <v>-9.3016555202689415E-3</v>
      </c>
      <c r="D1858" s="31">
        <v>4163.29</v>
      </c>
      <c r="E1858" s="28">
        <f t="shared" si="37"/>
        <v>-2.5332441694025701E-3</v>
      </c>
    </row>
    <row r="1859" spans="1:5">
      <c r="A1859" s="30">
        <v>44334</v>
      </c>
      <c r="B1859" s="28">
        <v>122.91847199999999</v>
      </c>
      <c r="C1859" s="28">
        <f t="shared" si="37"/>
        <v>-1.1309466954111115E-2</v>
      </c>
      <c r="D1859" s="31">
        <v>4127.83</v>
      </c>
      <c r="E1859" s="28">
        <f t="shared" si="37"/>
        <v>-8.5537819278382349E-3</v>
      </c>
    </row>
    <row r="1860" spans="1:5">
      <c r="A1860" s="30">
        <v>44335</v>
      </c>
      <c r="B1860" s="28">
        <v>122.76095599999999</v>
      </c>
      <c r="C1860" s="28">
        <f t="shared" si="37"/>
        <v>-1.2822890615258997E-3</v>
      </c>
      <c r="D1860" s="31">
        <v>4115.68</v>
      </c>
      <c r="E1860" s="28">
        <f t="shared" si="37"/>
        <v>-2.9477755951036366E-3</v>
      </c>
    </row>
    <row r="1861" spans="1:5">
      <c r="A1861" s="30">
        <v>44336</v>
      </c>
      <c r="B1861" s="28">
        <v>125.340424</v>
      </c>
      <c r="C1861" s="28">
        <f t="shared" ref="C1861:E1924" si="38">LN(B1861/B1860)</f>
        <v>2.0794410315433602E-2</v>
      </c>
      <c r="D1861" s="31">
        <v>4159.12</v>
      </c>
      <c r="E1861" s="28">
        <f t="shared" si="38"/>
        <v>1.0499443868610717E-2</v>
      </c>
    </row>
    <row r="1862" spans="1:5">
      <c r="A1862" s="30">
        <v>44337</v>
      </c>
      <c r="B1862" s="28">
        <v>123.48951</v>
      </c>
      <c r="C1862" s="28">
        <f t="shared" si="38"/>
        <v>-1.4877214400362417E-2</v>
      </c>
      <c r="D1862" s="31">
        <v>4155.8599999999997</v>
      </c>
      <c r="E1862" s="28">
        <f t="shared" si="38"/>
        <v>-7.8412700139645676E-4</v>
      </c>
    </row>
    <row r="1863" spans="1:5">
      <c r="A1863" s="30">
        <v>44340</v>
      </c>
      <c r="B1863" s="28">
        <v>125.133652</v>
      </c>
      <c r="C1863" s="28">
        <f t="shared" si="38"/>
        <v>1.3226168908765363E-2</v>
      </c>
      <c r="D1863" s="31">
        <v>4197.05</v>
      </c>
      <c r="E1863" s="28">
        <f t="shared" si="38"/>
        <v>9.8625111190549994E-3</v>
      </c>
    </row>
    <row r="1864" spans="1:5">
      <c r="A1864" s="30">
        <v>44341</v>
      </c>
      <c r="B1864" s="28">
        <v>124.936752</v>
      </c>
      <c r="C1864" s="28">
        <f t="shared" si="38"/>
        <v>-1.574756848798084E-3</v>
      </c>
      <c r="D1864" s="31">
        <v>4188.13</v>
      </c>
      <c r="E1864" s="28">
        <f t="shared" si="38"/>
        <v>-2.1275639556263349E-3</v>
      </c>
    </row>
    <row r="1865" spans="1:5">
      <c r="A1865" s="30">
        <v>44342</v>
      </c>
      <c r="B1865" s="28">
        <v>124.88752700000001</v>
      </c>
      <c r="C1865" s="28">
        <f t="shared" si="38"/>
        <v>-3.9407699551122569E-4</v>
      </c>
      <c r="D1865" s="31">
        <v>4195.99</v>
      </c>
      <c r="E1865" s="28">
        <f t="shared" si="38"/>
        <v>1.8749737128450623E-3</v>
      </c>
    </row>
    <row r="1866" spans="1:5">
      <c r="A1866" s="30">
        <v>44343</v>
      </c>
      <c r="B1866" s="28">
        <v>123.34182</v>
      </c>
      <c r="C1866" s="28">
        <f t="shared" si="38"/>
        <v>-1.2454022840072777E-2</v>
      </c>
      <c r="D1866" s="31">
        <v>4200.88</v>
      </c>
      <c r="E1866" s="28">
        <f t="shared" si="38"/>
        <v>1.1647198427041133E-3</v>
      </c>
    </row>
    <row r="1867" spans="1:5">
      <c r="A1867" s="30">
        <v>44344</v>
      </c>
      <c r="B1867" s="28">
        <v>122.68219000000001</v>
      </c>
      <c r="C1867" s="28">
        <f t="shared" si="38"/>
        <v>-5.3623350063894204E-3</v>
      </c>
      <c r="D1867" s="31">
        <v>4204.1099999999997</v>
      </c>
      <c r="E1867" s="28">
        <f t="shared" si="38"/>
        <v>7.6859107720652112E-4</v>
      </c>
    </row>
    <row r="1868" spans="1:5">
      <c r="A1868" s="30">
        <v>44348</v>
      </c>
      <c r="B1868" s="28">
        <v>122.357292</v>
      </c>
      <c r="C1868" s="28">
        <f t="shared" si="38"/>
        <v>-2.6518027849224252E-3</v>
      </c>
      <c r="D1868" s="31">
        <v>4202.04</v>
      </c>
      <c r="E1868" s="28">
        <f t="shared" si="38"/>
        <v>-4.9249657496948439E-4</v>
      </c>
    </row>
    <row r="1869" spans="1:5">
      <c r="A1869" s="30">
        <v>44349</v>
      </c>
      <c r="B1869" s="28">
        <v>123.125229</v>
      </c>
      <c r="C1869" s="28">
        <f t="shared" si="38"/>
        <v>6.2565717666964544E-3</v>
      </c>
      <c r="D1869" s="31">
        <v>4208.12</v>
      </c>
      <c r="E1869" s="28">
        <f t="shared" si="38"/>
        <v>1.4458704850342234E-3</v>
      </c>
    </row>
    <row r="1870" spans="1:5">
      <c r="A1870" s="30">
        <v>44350</v>
      </c>
      <c r="B1870" s="28">
        <v>121.628731</v>
      </c>
      <c r="C1870" s="28">
        <f t="shared" si="38"/>
        <v>-1.2228743094345445E-2</v>
      </c>
      <c r="D1870" s="31">
        <v>4192.8500000000004</v>
      </c>
      <c r="E1870" s="28">
        <f t="shared" si="38"/>
        <v>-3.6352984992414229E-3</v>
      </c>
    </row>
    <row r="1871" spans="1:5">
      <c r="A1871" s="30">
        <v>44351</v>
      </c>
      <c r="B1871" s="28">
        <v>123.94238300000001</v>
      </c>
      <c r="C1871" s="28">
        <f t="shared" si="38"/>
        <v>1.8843588099813541E-2</v>
      </c>
      <c r="D1871" s="31">
        <v>4229.8900000000003</v>
      </c>
      <c r="E1871" s="28">
        <f t="shared" si="38"/>
        <v>8.7952943520972007E-3</v>
      </c>
    </row>
    <row r="1872" spans="1:5">
      <c r="A1872" s="30">
        <v>44354</v>
      </c>
      <c r="B1872" s="28">
        <v>123.952232</v>
      </c>
      <c r="C1872" s="28">
        <f t="shared" si="38"/>
        <v>7.9461185594363774E-5</v>
      </c>
      <c r="D1872" s="31">
        <v>4226.5200000000004</v>
      </c>
      <c r="E1872" s="28">
        <f t="shared" si="38"/>
        <v>-7.9702856848250638E-4</v>
      </c>
    </row>
    <row r="1873" spans="1:5">
      <c r="A1873" s="30">
        <v>44355</v>
      </c>
      <c r="B1873" s="28">
        <v>124.77922100000001</v>
      </c>
      <c r="C1873" s="28">
        <f t="shared" si="38"/>
        <v>6.6496780954314874E-3</v>
      </c>
      <c r="D1873" s="31">
        <v>4227.26</v>
      </c>
      <c r="E1873" s="28">
        <f t="shared" si="38"/>
        <v>1.7506961427659565E-4</v>
      </c>
    </row>
    <row r="1874" spans="1:5">
      <c r="A1874" s="30">
        <v>44356</v>
      </c>
      <c r="B1874" s="28">
        <v>125.163185</v>
      </c>
      <c r="C1874" s="28">
        <f t="shared" si="38"/>
        <v>3.0724222286996981E-3</v>
      </c>
      <c r="D1874" s="31">
        <v>4219.55</v>
      </c>
      <c r="E1874" s="28">
        <f t="shared" si="38"/>
        <v>-1.8255417468125729E-3</v>
      </c>
    </row>
    <row r="1875" spans="1:5">
      <c r="A1875" s="30">
        <v>44357</v>
      </c>
      <c r="B1875" s="28">
        <v>124.15898900000001</v>
      </c>
      <c r="C1875" s="28">
        <f t="shared" si="38"/>
        <v>-8.0554522215097457E-3</v>
      </c>
      <c r="D1875" s="31">
        <v>4239.18</v>
      </c>
      <c r="E1875" s="28">
        <f t="shared" si="38"/>
        <v>4.641367023082649E-3</v>
      </c>
    </row>
    <row r="1876" spans="1:5">
      <c r="A1876" s="30">
        <v>44358</v>
      </c>
      <c r="B1876" s="28">
        <v>125.379791</v>
      </c>
      <c r="C1876" s="28">
        <f t="shared" si="38"/>
        <v>9.7845452292235503E-3</v>
      </c>
      <c r="D1876" s="31">
        <v>4247.4399999999996</v>
      </c>
      <c r="E1876" s="28">
        <f t="shared" si="38"/>
        <v>1.9465941937430961E-3</v>
      </c>
    </row>
    <row r="1877" spans="1:5">
      <c r="A1877" s="30">
        <v>44361</v>
      </c>
      <c r="B1877" s="28">
        <v>128.46133399999999</v>
      </c>
      <c r="C1877" s="28">
        <f t="shared" si="38"/>
        <v>2.4280497419323012E-2</v>
      </c>
      <c r="D1877" s="31">
        <v>4255.1499999999996</v>
      </c>
      <c r="E1877" s="28">
        <f t="shared" si="38"/>
        <v>1.8135655401930488E-3</v>
      </c>
    </row>
    <row r="1878" spans="1:5">
      <c r="A1878" s="30">
        <v>44362</v>
      </c>
      <c r="B1878" s="28">
        <v>127.63434599999999</v>
      </c>
      <c r="C1878" s="28">
        <f t="shared" si="38"/>
        <v>-6.458452361095649E-3</v>
      </c>
      <c r="D1878" s="31">
        <v>4246.59</v>
      </c>
      <c r="E1878" s="28">
        <f t="shared" si="38"/>
        <v>-2.0137061101785226E-3</v>
      </c>
    </row>
    <row r="1879" spans="1:5">
      <c r="A1879" s="30">
        <v>44363</v>
      </c>
      <c r="B1879" s="28">
        <v>128.136459</v>
      </c>
      <c r="C1879" s="28">
        <f t="shared" si="38"/>
        <v>3.9262780209290199E-3</v>
      </c>
      <c r="D1879" s="31">
        <v>4223.7</v>
      </c>
      <c r="E1879" s="28">
        <f t="shared" si="38"/>
        <v>-5.404786783292966E-3</v>
      </c>
    </row>
    <row r="1880" spans="1:5">
      <c r="A1880" s="30">
        <v>44364</v>
      </c>
      <c r="B1880" s="28">
        <v>129.75108299999999</v>
      </c>
      <c r="C1880" s="28">
        <f t="shared" si="38"/>
        <v>1.2522086840908431E-2</v>
      </c>
      <c r="D1880" s="31">
        <v>4221.8599999999997</v>
      </c>
      <c r="E1880" s="28">
        <f t="shared" si="38"/>
        <v>-4.3573191809956221E-4</v>
      </c>
    </row>
    <row r="1881" spans="1:5">
      <c r="A1881" s="30">
        <v>44365</v>
      </c>
      <c r="B1881" s="28">
        <v>128.44168099999999</v>
      </c>
      <c r="C1881" s="28">
        <f t="shared" si="38"/>
        <v>-1.0142911873196304E-2</v>
      </c>
      <c r="D1881" s="31">
        <v>4166.45</v>
      </c>
      <c r="E1881" s="28">
        <f t="shared" si="38"/>
        <v>-1.3211434948255869E-2</v>
      </c>
    </row>
    <row r="1882" spans="1:5">
      <c r="A1882" s="30">
        <v>44368</v>
      </c>
      <c r="B1882" s="28">
        <v>130.25320400000001</v>
      </c>
      <c r="C1882" s="28">
        <f t="shared" si="38"/>
        <v>1.4005322220521761E-2</v>
      </c>
      <c r="D1882" s="31">
        <v>4224.79</v>
      </c>
      <c r="E1882" s="28">
        <f t="shared" si="38"/>
        <v>1.3905201143734752E-2</v>
      </c>
    </row>
    <row r="1883" spans="1:5">
      <c r="A1883" s="30">
        <v>44369</v>
      </c>
      <c r="B1883" s="28">
        <v>131.90721099999999</v>
      </c>
      <c r="C1883" s="28">
        <f t="shared" si="38"/>
        <v>1.2618449254309889E-2</v>
      </c>
      <c r="D1883" s="31">
        <v>4246.4399999999996</v>
      </c>
      <c r="E1883" s="28">
        <f t="shared" si="38"/>
        <v>5.1114294233350907E-3</v>
      </c>
    </row>
    <row r="1884" spans="1:5">
      <c r="A1884" s="30">
        <v>44370</v>
      </c>
      <c r="B1884" s="28">
        <v>131.631561</v>
      </c>
      <c r="C1884" s="28">
        <f t="shared" si="38"/>
        <v>-2.0919130679006481E-3</v>
      </c>
      <c r="D1884" s="31">
        <v>4241.84</v>
      </c>
      <c r="E1884" s="28">
        <f t="shared" si="38"/>
        <v>-1.0838474815418405E-3</v>
      </c>
    </row>
    <row r="1885" spans="1:5">
      <c r="A1885" s="30">
        <v>44371</v>
      </c>
      <c r="B1885" s="28">
        <v>131.34605400000001</v>
      </c>
      <c r="C1885" s="28">
        <f t="shared" si="38"/>
        <v>-2.1713415582834657E-3</v>
      </c>
      <c r="D1885" s="31">
        <v>4266.49</v>
      </c>
      <c r="E1885" s="28">
        <f t="shared" si="38"/>
        <v>5.7943377765723673E-3</v>
      </c>
    </row>
    <row r="1886" spans="1:5">
      <c r="A1886" s="30">
        <v>44372</v>
      </c>
      <c r="B1886" s="28">
        <v>131.05070499999999</v>
      </c>
      <c r="C1886" s="28">
        <f t="shared" si="38"/>
        <v>-2.2511644263819757E-3</v>
      </c>
      <c r="D1886" s="31">
        <v>4280.7</v>
      </c>
      <c r="E1886" s="28">
        <f t="shared" si="38"/>
        <v>3.3250724723028176E-3</v>
      </c>
    </row>
    <row r="1887" spans="1:5">
      <c r="A1887" s="30">
        <v>44375</v>
      </c>
      <c r="B1887" s="28">
        <v>132.694839</v>
      </c>
      <c r="C1887" s="28">
        <f t="shared" si="38"/>
        <v>1.2467738962665989E-2</v>
      </c>
      <c r="D1887" s="31">
        <v>4290.6099999999997</v>
      </c>
      <c r="E1887" s="28">
        <f t="shared" si="38"/>
        <v>2.3123663514123699E-3</v>
      </c>
    </row>
    <row r="1888" spans="1:5">
      <c r="A1888" s="30">
        <v>44376</v>
      </c>
      <c r="B1888" s="28">
        <v>134.22087099999999</v>
      </c>
      <c r="C1888" s="28">
        <f t="shared" si="38"/>
        <v>1.1434685711179582E-2</v>
      </c>
      <c r="D1888" s="31">
        <v>4291.8</v>
      </c>
      <c r="E1888" s="28">
        <f t="shared" si="38"/>
        <v>2.7731138634168957E-4</v>
      </c>
    </row>
    <row r="1889" spans="1:5">
      <c r="A1889" s="30">
        <v>44377</v>
      </c>
      <c r="B1889" s="28">
        <v>134.84114099999999</v>
      </c>
      <c r="C1889" s="28">
        <f t="shared" si="38"/>
        <v>4.6106181559183437E-3</v>
      </c>
      <c r="D1889" s="31">
        <v>4297.5</v>
      </c>
      <c r="E1889" s="28">
        <f t="shared" si="38"/>
        <v>1.3272329146112091E-3</v>
      </c>
    </row>
    <row r="1890" spans="1:5">
      <c r="A1890" s="30">
        <v>44378</v>
      </c>
      <c r="B1890" s="28">
        <v>135.14631700000001</v>
      </c>
      <c r="C1890" s="28">
        <f t="shared" si="38"/>
        <v>2.260668937962181E-3</v>
      </c>
      <c r="D1890" s="31">
        <v>4319.9399999999996</v>
      </c>
      <c r="E1890" s="28">
        <f t="shared" si="38"/>
        <v>5.2080549958111134E-3</v>
      </c>
    </row>
    <row r="1891" spans="1:5">
      <c r="A1891" s="30">
        <v>44379</v>
      </c>
      <c r="B1891" s="28">
        <v>137.79473899999999</v>
      </c>
      <c r="C1891" s="28">
        <f t="shared" si="38"/>
        <v>1.9407158182378099E-2</v>
      </c>
      <c r="D1891" s="31">
        <v>4352.34</v>
      </c>
      <c r="E1891" s="28">
        <f t="shared" si="38"/>
        <v>7.4721182313641664E-3</v>
      </c>
    </row>
    <row r="1892" spans="1:5">
      <c r="A1892" s="30">
        <v>44383</v>
      </c>
      <c r="B1892" s="28">
        <v>139.82283000000001</v>
      </c>
      <c r="C1892" s="28">
        <f t="shared" si="38"/>
        <v>1.4610941856829339E-2</v>
      </c>
      <c r="D1892" s="31">
        <v>4343.54</v>
      </c>
      <c r="E1892" s="28">
        <f t="shared" si="38"/>
        <v>-2.0239476634912454E-3</v>
      </c>
    </row>
    <row r="1893" spans="1:5">
      <c r="A1893" s="30">
        <v>44384</v>
      </c>
      <c r="B1893" s="28">
        <v>142.33338900000001</v>
      </c>
      <c r="C1893" s="28">
        <f t="shared" si="38"/>
        <v>1.779599447316544E-2</v>
      </c>
      <c r="D1893" s="31">
        <v>4358.13</v>
      </c>
      <c r="E1893" s="28">
        <f t="shared" si="38"/>
        <v>3.3533824363036076E-3</v>
      </c>
    </row>
    <row r="1894" spans="1:5">
      <c r="A1894" s="30">
        <v>44385</v>
      </c>
      <c r="B1894" s="28">
        <v>141.02397199999999</v>
      </c>
      <c r="C1894" s="28">
        <f t="shared" si="38"/>
        <v>-9.2422255493492724E-3</v>
      </c>
      <c r="D1894" s="31">
        <v>4320.82</v>
      </c>
      <c r="E1894" s="28">
        <f t="shared" si="38"/>
        <v>-8.5978672165738772E-3</v>
      </c>
    </row>
    <row r="1895" spans="1:5">
      <c r="A1895" s="30">
        <v>44386</v>
      </c>
      <c r="B1895" s="28">
        <v>142.865036</v>
      </c>
      <c r="C1895" s="28">
        <f t="shared" si="38"/>
        <v>1.2970490288696469E-2</v>
      </c>
      <c r="D1895" s="31">
        <v>4369.55</v>
      </c>
      <c r="E1895" s="28">
        <f t="shared" si="38"/>
        <v>1.1214829918570923E-2</v>
      </c>
    </row>
    <row r="1896" spans="1:5">
      <c r="A1896" s="30">
        <v>44389</v>
      </c>
      <c r="B1896" s="28">
        <v>142.26448099999999</v>
      </c>
      <c r="C1896" s="28">
        <f t="shared" si="38"/>
        <v>-4.2125129267744938E-3</v>
      </c>
      <c r="D1896" s="31">
        <v>4384.63</v>
      </c>
      <c r="E1896" s="28">
        <f t="shared" si="38"/>
        <v>3.4452147239393167E-3</v>
      </c>
    </row>
    <row r="1897" spans="1:5">
      <c r="A1897" s="30">
        <v>44390</v>
      </c>
      <c r="B1897" s="28">
        <v>143.38682600000001</v>
      </c>
      <c r="C1897" s="28">
        <f t="shared" si="38"/>
        <v>7.8581875734137756E-3</v>
      </c>
      <c r="D1897" s="31">
        <v>4369.21</v>
      </c>
      <c r="E1897" s="28">
        <f t="shared" si="38"/>
        <v>-3.5230289676471218E-3</v>
      </c>
    </row>
    <row r="1898" spans="1:5">
      <c r="A1898" s="30">
        <v>44391</v>
      </c>
      <c r="B1898" s="28">
        <v>146.842499</v>
      </c>
      <c r="C1898" s="28">
        <f t="shared" si="38"/>
        <v>2.3814521960255783E-2</v>
      </c>
      <c r="D1898" s="31">
        <v>4374.3</v>
      </c>
      <c r="E1898" s="28">
        <f t="shared" si="38"/>
        <v>1.1642922750682311E-3</v>
      </c>
    </row>
    <row r="1899" spans="1:5">
      <c r="A1899" s="30">
        <v>44392</v>
      </c>
      <c r="B1899" s="28">
        <v>146.18287699999999</v>
      </c>
      <c r="C1899" s="28">
        <f t="shared" si="38"/>
        <v>-4.5021569338696788E-3</v>
      </c>
      <c r="D1899" s="31">
        <v>4360.03</v>
      </c>
      <c r="E1899" s="28">
        <f t="shared" si="38"/>
        <v>-3.267568936996537E-3</v>
      </c>
    </row>
    <row r="1900" spans="1:5">
      <c r="A1900" s="30">
        <v>44393</v>
      </c>
      <c r="B1900" s="28">
        <v>144.12524400000001</v>
      </c>
      <c r="C1900" s="28">
        <f t="shared" si="38"/>
        <v>-1.4175748510875176E-2</v>
      </c>
      <c r="D1900" s="31">
        <v>4327.16</v>
      </c>
      <c r="E1900" s="28">
        <f t="shared" si="38"/>
        <v>-7.5675003916981084E-3</v>
      </c>
    </row>
    <row r="1901" spans="1:5">
      <c r="A1901" s="30">
        <v>44396</v>
      </c>
      <c r="B1901" s="28">
        <v>140.246185</v>
      </c>
      <c r="C1901" s="28">
        <f t="shared" si="38"/>
        <v>-2.7283328955823045E-2</v>
      </c>
      <c r="D1901" s="31">
        <v>4258.49</v>
      </c>
      <c r="E1901" s="28">
        <f t="shared" si="38"/>
        <v>-1.5996800327963308E-2</v>
      </c>
    </row>
    <row r="1902" spans="1:5">
      <c r="A1902" s="30">
        <v>44397</v>
      </c>
      <c r="B1902" s="28">
        <v>143.88891599999999</v>
      </c>
      <c r="C1902" s="28">
        <f t="shared" si="38"/>
        <v>2.564224260757423E-2</v>
      </c>
      <c r="D1902" s="31">
        <v>4323.0600000000004</v>
      </c>
      <c r="E1902" s="28">
        <f t="shared" si="38"/>
        <v>1.5048847488145101E-2</v>
      </c>
    </row>
    <row r="1903" spans="1:5">
      <c r="A1903" s="30">
        <v>44398</v>
      </c>
      <c r="B1903" s="28">
        <v>143.150543</v>
      </c>
      <c r="C1903" s="28">
        <f t="shared" si="38"/>
        <v>-5.1447604535685794E-3</v>
      </c>
      <c r="D1903" s="31">
        <v>4358.6899999999996</v>
      </c>
      <c r="E1903" s="28">
        <f t="shared" si="38"/>
        <v>8.2080686588838214E-3</v>
      </c>
    </row>
    <row r="1904" spans="1:5">
      <c r="A1904" s="30">
        <v>44399</v>
      </c>
      <c r="B1904" s="28">
        <v>144.52891500000001</v>
      </c>
      <c r="C1904" s="28">
        <f t="shared" si="38"/>
        <v>9.582766579798294E-3</v>
      </c>
      <c r="D1904" s="31">
        <v>4367.4799999999996</v>
      </c>
      <c r="E1904" s="28">
        <f t="shared" si="38"/>
        <v>2.0146302382427882E-3</v>
      </c>
    </row>
    <row r="1905" spans="1:5">
      <c r="A1905" s="30">
        <v>44400</v>
      </c>
      <c r="B1905" s="28">
        <v>146.261673</v>
      </c>
      <c r="C1905" s="28">
        <f t="shared" si="38"/>
        <v>1.191770697088386E-2</v>
      </c>
      <c r="D1905" s="31">
        <v>4411.79</v>
      </c>
      <c r="E1905" s="28">
        <f t="shared" si="38"/>
        <v>1.0094319060166316E-2</v>
      </c>
    </row>
    <row r="1906" spans="1:5">
      <c r="A1906" s="30">
        <v>44403</v>
      </c>
      <c r="B1906" s="28">
        <v>146.68502799999999</v>
      </c>
      <c r="C1906" s="28">
        <f t="shared" si="38"/>
        <v>2.8903230060571689E-3</v>
      </c>
      <c r="D1906" s="31">
        <v>4422.3</v>
      </c>
      <c r="E1906" s="28">
        <f t="shared" si="38"/>
        <v>2.3794199422129485E-3</v>
      </c>
    </row>
    <row r="1907" spans="1:5">
      <c r="A1907" s="30">
        <v>44404</v>
      </c>
      <c r="B1907" s="28">
        <v>144.499359</v>
      </c>
      <c r="C1907" s="28">
        <f t="shared" si="38"/>
        <v>-1.5012549761071428E-2</v>
      </c>
      <c r="D1907" s="31">
        <v>4401.46</v>
      </c>
      <c r="E1907" s="28">
        <f t="shared" si="38"/>
        <v>-4.7236186726493743E-3</v>
      </c>
    </row>
    <row r="1908" spans="1:5">
      <c r="A1908" s="30">
        <v>44405</v>
      </c>
      <c r="B1908" s="28">
        <v>142.73701500000001</v>
      </c>
      <c r="C1908" s="28">
        <f t="shared" si="38"/>
        <v>-1.2271190380190629E-2</v>
      </c>
      <c r="D1908" s="31">
        <v>4400.6400000000003</v>
      </c>
      <c r="E1908" s="28">
        <f t="shared" si="38"/>
        <v>-1.8631917437244311E-4</v>
      </c>
    </row>
    <row r="1909" spans="1:5">
      <c r="A1909" s="30">
        <v>44406</v>
      </c>
      <c r="B1909" s="28">
        <v>143.38682600000001</v>
      </c>
      <c r="C1909" s="28">
        <f t="shared" si="38"/>
        <v>4.542173870829491E-3</v>
      </c>
      <c r="D1909" s="31">
        <v>4419.1499999999996</v>
      </c>
      <c r="E1909" s="28">
        <f t="shared" si="38"/>
        <v>4.1973850116203163E-3</v>
      </c>
    </row>
    <row r="1910" spans="1:5">
      <c r="A1910" s="30">
        <v>44407</v>
      </c>
      <c r="B1910" s="28">
        <v>143.60343900000001</v>
      </c>
      <c r="C1910" s="28">
        <f t="shared" si="38"/>
        <v>1.5095497482029742E-3</v>
      </c>
      <c r="D1910" s="31">
        <v>4395.26</v>
      </c>
      <c r="E1910" s="28">
        <f t="shared" si="38"/>
        <v>-5.4206823821932627E-3</v>
      </c>
    </row>
    <row r="1911" spans="1:5">
      <c r="A1911" s="30">
        <v>44410</v>
      </c>
      <c r="B1911" s="28">
        <v>143.26872299999999</v>
      </c>
      <c r="C1911" s="28">
        <f t="shared" si="38"/>
        <v>-2.333556170507086E-3</v>
      </c>
      <c r="D1911" s="31">
        <v>4387.16</v>
      </c>
      <c r="E1911" s="28">
        <f t="shared" si="38"/>
        <v>-1.8445946098472469E-3</v>
      </c>
    </row>
    <row r="1912" spans="1:5">
      <c r="A1912" s="30">
        <v>44411</v>
      </c>
      <c r="B1912" s="28">
        <v>145.08019999999999</v>
      </c>
      <c r="C1912" s="28">
        <f t="shared" si="38"/>
        <v>1.2564644338693488E-2</v>
      </c>
      <c r="D1912" s="31">
        <v>4423.1499999999996</v>
      </c>
      <c r="E1912" s="28">
        <f t="shared" si="38"/>
        <v>8.170019032652822E-3</v>
      </c>
    </row>
    <row r="1913" spans="1:5">
      <c r="A1913" s="30">
        <v>44412</v>
      </c>
      <c r="B1913" s="28">
        <v>144.676559</v>
      </c>
      <c r="C1913" s="28">
        <f t="shared" si="38"/>
        <v>-2.786069684708297E-3</v>
      </c>
      <c r="D1913" s="31">
        <v>4402.66</v>
      </c>
      <c r="E1913" s="28">
        <f t="shared" si="38"/>
        <v>-4.6432082296428796E-3</v>
      </c>
    </row>
    <row r="1914" spans="1:5">
      <c r="A1914" s="30">
        <v>44413</v>
      </c>
      <c r="B1914" s="28">
        <v>144.784851</v>
      </c>
      <c r="C1914" s="28">
        <f t="shared" si="38"/>
        <v>7.4823103399025649E-4</v>
      </c>
      <c r="D1914" s="31">
        <v>4429.1000000000004</v>
      </c>
      <c r="E1914" s="28">
        <f t="shared" si="38"/>
        <v>5.9874994315475697E-3</v>
      </c>
    </row>
    <row r="1915" spans="1:5">
      <c r="A1915" s="30">
        <v>44414</v>
      </c>
      <c r="B1915" s="28">
        <v>144.09465</v>
      </c>
      <c r="C1915" s="28">
        <f t="shared" si="38"/>
        <v>-4.7784789916887008E-3</v>
      </c>
      <c r="D1915" s="31">
        <v>4436.5200000000004</v>
      </c>
      <c r="E1915" s="28">
        <f t="shared" si="38"/>
        <v>1.6738821949274498E-3</v>
      </c>
    </row>
    <row r="1916" spans="1:5">
      <c r="A1916" s="30">
        <v>44417</v>
      </c>
      <c r="B1916" s="28">
        <v>144.04536400000001</v>
      </c>
      <c r="C1916" s="28">
        <f t="shared" si="38"/>
        <v>-3.4209757816325081E-4</v>
      </c>
      <c r="D1916" s="31">
        <v>4432.3500000000004</v>
      </c>
      <c r="E1916" s="28">
        <f t="shared" si="38"/>
        <v>-9.4036789518653135E-4</v>
      </c>
    </row>
    <row r="1917" spans="1:5">
      <c r="A1917" s="30">
        <v>44418</v>
      </c>
      <c r="B1917" s="28">
        <v>143.56222500000001</v>
      </c>
      <c r="C1917" s="28">
        <f t="shared" si="38"/>
        <v>-3.3597128374758425E-3</v>
      </c>
      <c r="D1917" s="31">
        <v>4436.75</v>
      </c>
      <c r="E1917" s="28">
        <f t="shared" si="38"/>
        <v>9.922089864754615E-4</v>
      </c>
    </row>
    <row r="1918" spans="1:5">
      <c r="A1918" s="30">
        <v>44419</v>
      </c>
      <c r="B1918" s="28">
        <v>143.81857299999999</v>
      </c>
      <c r="C1918" s="28">
        <f t="shared" si="38"/>
        <v>1.7840305947737941E-3</v>
      </c>
      <c r="D1918" s="31">
        <v>4442.41</v>
      </c>
      <c r="E1918" s="28">
        <f t="shared" si="38"/>
        <v>1.2748955456659639E-3</v>
      </c>
    </row>
    <row r="1919" spans="1:5">
      <c r="A1919" s="30">
        <v>44420</v>
      </c>
      <c r="B1919" s="28">
        <v>146.806183</v>
      </c>
      <c r="C1919" s="28">
        <f t="shared" si="38"/>
        <v>2.0560638321820399E-2</v>
      </c>
      <c r="D1919" s="31">
        <v>4460.83</v>
      </c>
      <c r="E1919" s="28">
        <f t="shared" si="38"/>
        <v>4.1378253942716235E-3</v>
      </c>
    </row>
    <row r="1920" spans="1:5">
      <c r="A1920" s="30">
        <v>44421</v>
      </c>
      <c r="B1920" s="28">
        <v>147.01324500000001</v>
      </c>
      <c r="C1920" s="28">
        <f t="shared" si="38"/>
        <v>1.4094509385422977E-3</v>
      </c>
      <c r="D1920" s="31">
        <v>4468</v>
      </c>
      <c r="E1920" s="28">
        <f t="shared" si="38"/>
        <v>1.6060338344795659E-3</v>
      </c>
    </row>
    <row r="1921" spans="1:5">
      <c r="A1921" s="30">
        <v>44424</v>
      </c>
      <c r="B1921" s="28">
        <v>149.004974</v>
      </c>
      <c r="C1921" s="28">
        <f t="shared" si="38"/>
        <v>1.3457003178002172E-2</v>
      </c>
      <c r="D1921" s="31">
        <v>4479.71</v>
      </c>
      <c r="E1921" s="28">
        <f t="shared" si="38"/>
        <v>2.6174309818667143E-3</v>
      </c>
    </row>
    <row r="1922" spans="1:5">
      <c r="A1922" s="30">
        <v>44425</v>
      </c>
      <c r="B1922" s="28">
        <v>148.087997</v>
      </c>
      <c r="C1922" s="28">
        <f t="shared" si="38"/>
        <v>-6.1730165394508789E-3</v>
      </c>
      <c r="D1922" s="31">
        <v>4448.08</v>
      </c>
      <c r="E1922" s="28">
        <f t="shared" si="38"/>
        <v>-7.0857697907681849E-3</v>
      </c>
    </row>
    <row r="1923" spans="1:5">
      <c r="A1923" s="30">
        <v>44426</v>
      </c>
      <c r="B1923" s="28">
        <v>144.31158400000001</v>
      </c>
      <c r="C1923" s="28">
        <f t="shared" si="38"/>
        <v>-2.5831931641098538E-2</v>
      </c>
      <c r="D1923" s="31">
        <v>4400.2700000000004</v>
      </c>
      <c r="E1923" s="28">
        <f t="shared" si="38"/>
        <v>-1.0806639720144598E-2</v>
      </c>
    </row>
    <row r="1924" spans="1:5">
      <c r="A1924" s="30">
        <v>44427</v>
      </c>
      <c r="B1924" s="28">
        <v>144.646851</v>
      </c>
      <c r="C1924" s="28">
        <f t="shared" si="38"/>
        <v>2.3205216379721325E-3</v>
      </c>
      <c r="D1924" s="31">
        <v>4405.8</v>
      </c>
      <c r="E1924" s="28">
        <f t="shared" si="38"/>
        <v>1.2559520255743905E-3</v>
      </c>
    </row>
    <row r="1925" spans="1:5">
      <c r="A1925" s="30">
        <v>44428</v>
      </c>
      <c r="B1925" s="28">
        <v>146.115982</v>
      </c>
      <c r="C1925" s="28">
        <f t="shared" ref="C1925:E1988" si="39">LN(B1925/B1924)</f>
        <v>1.0105442206080711E-2</v>
      </c>
      <c r="D1925" s="31">
        <v>4441.67</v>
      </c>
      <c r="E1925" s="28">
        <f t="shared" si="39"/>
        <v>8.1085771490773013E-3</v>
      </c>
    </row>
    <row r="1926" spans="1:5">
      <c r="A1926" s="30">
        <v>44431</v>
      </c>
      <c r="B1926" s="28">
        <v>147.61473100000001</v>
      </c>
      <c r="C1926" s="28">
        <f t="shared" si="39"/>
        <v>1.0205007107253699E-2</v>
      </c>
      <c r="D1926" s="31">
        <v>4479.53</v>
      </c>
      <c r="E1926" s="28">
        <f t="shared" si="39"/>
        <v>8.487698356534068E-3</v>
      </c>
    </row>
    <row r="1927" spans="1:5">
      <c r="A1927" s="30">
        <v>44432</v>
      </c>
      <c r="B1927" s="28">
        <v>147.52595500000001</v>
      </c>
      <c r="C1927" s="28">
        <f t="shared" si="39"/>
        <v>-6.015843080160872E-4</v>
      </c>
      <c r="D1927" s="31">
        <v>4486.2299999999996</v>
      </c>
      <c r="E1927" s="28">
        <f t="shared" si="39"/>
        <v>1.4945751943348515E-3</v>
      </c>
    </row>
    <row r="1928" spans="1:5">
      <c r="A1928" s="30">
        <v>44433</v>
      </c>
      <c r="B1928" s="28">
        <v>146.283569</v>
      </c>
      <c r="C1928" s="28">
        <f t="shared" si="39"/>
        <v>-8.4571350038064666E-3</v>
      </c>
      <c r="D1928" s="31">
        <v>4496.1899999999996</v>
      </c>
      <c r="E1928" s="28">
        <f t="shared" si="39"/>
        <v>2.2176660815180892E-3</v>
      </c>
    </row>
    <row r="1929" spans="1:5">
      <c r="A1929" s="30">
        <v>44434</v>
      </c>
      <c r="B1929" s="28">
        <v>145.475067</v>
      </c>
      <c r="C1929" s="28">
        <f t="shared" si="39"/>
        <v>-5.5422802946833126E-3</v>
      </c>
      <c r="D1929" s="31">
        <v>4470</v>
      </c>
      <c r="E1929" s="28">
        <f t="shared" si="39"/>
        <v>-5.8419628594696153E-3</v>
      </c>
    </row>
    <row r="1930" spans="1:5">
      <c r="A1930" s="30">
        <v>44435</v>
      </c>
      <c r="B1930" s="28">
        <v>146.52024800000001</v>
      </c>
      <c r="C1930" s="28">
        <f t="shared" si="39"/>
        <v>7.1589194080124785E-3</v>
      </c>
      <c r="D1930" s="31">
        <v>4509.37</v>
      </c>
      <c r="E1930" s="28">
        <f t="shared" si="39"/>
        <v>8.7690455528976891E-3</v>
      </c>
    </row>
    <row r="1931" spans="1:5">
      <c r="A1931" s="30">
        <v>44438</v>
      </c>
      <c r="B1931" s="28">
        <v>150.97695899999999</v>
      </c>
      <c r="C1931" s="28">
        <f t="shared" si="39"/>
        <v>2.9963605257129333E-2</v>
      </c>
      <c r="D1931" s="31">
        <v>4528.79</v>
      </c>
      <c r="E1931" s="28">
        <f t="shared" si="39"/>
        <v>4.2973414690568616E-3</v>
      </c>
    </row>
    <row r="1932" spans="1:5">
      <c r="A1932" s="30">
        <v>44439</v>
      </c>
      <c r="B1932" s="28">
        <v>149.70503199999999</v>
      </c>
      <c r="C1932" s="28">
        <f t="shared" si="39"/>
        <v>-8.4603310128993515E-3</v>
      </c>
      <c r="D1932" s="31">
        <v>4522.68</v>
      </c>
      <c r="E1932" s="28">
        <f t="shared" si="39"/>
        <v>-1.3500571571324227E-3</v>
      </c>
    </row>
    <row r="1933" spans="1:5">
      <c r="A1933" s="30">
        <v>44440</v>
      </c>
      <c r="B1933" s="28">
        <v>150.375519</v>
      </c>
      <c r="C1933" s="28">
        <f t="shared" si="39"/>
        <v>4.4687209053541951E-3</v>
      </c>
      <c r="D1933" s="31">
        <v>4524.09</v>
      </c>
      <c r="E1933" s="28">
        <f t="shared" si="39"/>
        <v>3.1171346489786849E-4</v>
      </c>
    </row>
    <row r="1934" spans="1:5">
      <c r="A1934" s="30">
        <v>44441</v>
      </c>
      <c r="B1934" s="28">
        <v>151.49954199999999</v>
      </c>
      <c r="C1934" s="28">
        <f t="shared" si="39"/>
        <v>7.4469761820858309E-3</v>
      </c>
      <c r="D1934" s="31">
        <v>4536.95</v>
      </c>
      <c r="E1934" s="28">
        <f t="shared" si="39"/>
        <v>2.8385281677768184E-3</v>
      </c>
    </row>
    <row r="1935" spans="1:5">
      <c r="A1935" s="30">
        <v>44442</v>
      </c>
      <c r="B1935" s="28">
        <v>152.14047199999999</v>
      </c>
      <c r="C1935" s="28">
        <f t="shared" si="39"/>
        <v>4.2216501274776929E-3</v>
      </c>
      <c r="D1935" s="31">
        <v>4535.43</v>
      </c>
      <c r="E1935" s="28">
        <f t="shared" si="39"/>
        <v>-3.3508296923669389E-4</v>
      </c>
    </row>
    <row r="1936" spans="1:5">
      <c r="A1936" s="30">
        <v>44446</v>
      </c>
      <c r="B1936" s="28">
        <v>154.49702500000001</v>
      </c>
      <c r="C1936" s="28">
        <f t="shared" si="39"/>
        <v>1.5370588518955588E-2</v>
      </c>
      <c r="D1936" s="31">
        <v>4520.03</v>
      </c>
      <c r="E1936" s="28">
        <f t="shared" si="39"/>
        <v>-3.401266163481994E-3</v>
      </c>
    </row>
    <row r="1937" spans="1:5">
      <c r="A1937" s="30">
        <v>44447</v>
      </c>
      <c r="B1937" s="28">
        <v>152.93914799999999</v>
      </c>
      <c r="C1937" s="28">
        <f t="shared" si="39"/>
        <v>-1.0134723700498359E-2</v>
      </c>
      <c r="D1937" s="31">
        <v>4514.07</v>
      </c>
      <c r="E1937" s="28">
        <f t="shared" si="39"/>
        <v>-1.3194454045593487E-3</v>
      </c>
    </row>
    <row r="1938" spans="1:5">
      <c r="A1938" s="30">
        <v>44448</v>
      </c>
      <c r="B1938" s="28">
        <v>151.91369599999999</v>
      </c>
      <c r="C1938" s="28">
        <f t="shared" si="39"/>
        <v>-6.7275466693715504E-3</v>
      </c>
      <c r="D1938" s="31">
        <v>4493.28</v>
      </c>
      <c r="E1938" s="28">
        <f t="shared" si="39"/>
        <v>-4.6162382762889205E-3</v>
      </c>
    </row>
    <row r="1939" spans="1:5">
      <c r="A1939" s="30">
        <v>44449</v>
      </c>
      <c r="B1939" s="28">
        <v>146.88505599999999</v>
      </c>
      <c r="C1939" s="28">
        <f t="shared" si="39"/>
        <v>-3.366222118142103E-2</v>
      </c>
      <c r="D1939" s="31">
        <v>4458.58</v>
      </c>
      <c r="E1939" s="28">
        <f t="shared" si="39"/>
        <v>-7.7526176231305427E-3</v>
      </c>
    </row>
    <row r="1940" spans="1:5">
      <c r="A1940" s="30">
        <v>44452</v>
      </c>
      <c r="B1940" s="28">
        <v>147.45694</v>
      </c>
      <c r="C1940" s="28">
        <f t="shared" si="39"/>
        <v>3.8858520182976385E-3</v>
      </c>
      <c r="D1940" s="31">
        <v>4468.7299999999996</v>
      </c>
      <c r="E1940" s="28">
        <f t="shared" si="39"/>
        <v>2.273922239413449E-3</v>
      </c>
    </row>
    <row r="1941" spans="1:5">
      <c r="A1941" s="30">
        <v>44453</v>
      </c>
      <c r="B1941" s="28">
        <v>146.04693599999999</v>
      </c>
      <c r="C1941" s="28">
        <f t="shared" si="39"/>
        <v>-9.6081514590396593E-3</v>
      </c>
      <c r="D1941" s="31">
        <v>4443.05</v>
      </c>
      <c r="E1941" s="28">
        <f t="shared" si="39"/>
        <v>-5.7631743778016721E-3</v>
      </c>
    </row>
    <row r="1942" spans="1:5">
      <c r="A1942" s="30">
        <v>44454</v>
      </c>
      <c r="B1942" s="28">
        <v>146.94421399999999</v>
      </c>
      <c r="C1942" s="28">
        <f t="shared" si="39"/>
        <v>6.1249686560950452E-3</v>
      </c>
      <c r="D1942" s="31">
        <v>4480.7</v>
      </c>
      <c r="E1942" s="28">
        <f t="shared" si="39"/>
        <v>8.4382066732456781E-3</v>
      </c>
    </row>
    <row r="1943" spans="1:5">
      <c r="A1943" s="30">
        <v>44455</v>
      </c>
      <c r="B1943" s="28">
        <v>146.70756499999999</v>
      </c>
      <c r="C1943" s="28">
        <f t="shared" si="39"/>
        <v>-1.6117665081837502E-3</v>
      </c>
      <c r="D1943" s="31">
        <v>4473.75</v>
      </c>
      <c r="E1943" s="28">
        <f t="shared" si="39"/>
        <v>-1.5523011230354105E-3</v>
      </c>
    </row>
    <row r="1944" spans="1:5">
      <c r="A1944" s="30">
        <v>44456</v>
      </c>
      <c r="B1944" s="28">
        <v>144.01580799999999</v>
      </c>
      <c r="C1944" s="28">
        <f t="shared" si="39"/>
        <v>-1.8518180316216517E-2</v>
      </c>
      <c r="D1944" s="31">
        <v>4432.99</v>
      </c>
      <c r="E1944" s="28">
        <f t="shared" si="39"/>
        <v>-9.1526831464338165E-3</v>
      </c>
    </row>
    <row r="1945" spans="1:5">
      <c r="A1945" s="30">
        <v>44459</v>
      </c>
      <c r="B1945" s="28">
        <v>140.93945299999999</v>
      </c>
      <c r="C1945" s="28">
        <f t="shared" si="39"/>
        <v>-2.1592684521443382E-2</v>
      </c>
      <c r="D1945" s="31">
        <v>4357.7299999999996</v>
      </c>
      <c r="E1945" s="28">
        <f t="shared" si="39"/>
        <v>-1.7123020373769459E-2</v>
      </c>
    </row>
    <row r="1946" spans="1:5">
      <c r="A1946" s="30">
        <v>44460</v>
      </c>
      <c r="B1946" s="28">
        <v>141.42257699999999</v>
      </c>
      <c r="C1946" s="28">
        <f t="shared" si="39"/>
        <v>3.4220215193787313E-3</v>
      </c>
      <c r="D1946" s="31">
        <v>4354.1899999999996</v>
      </c>
      <c r="E1946" s="28">
        <f t="shared" si="39"/>
        <v>-8.1267968365917188E-4</v>
      </c>
    </row>
    <row r="1947" spans="1:5">
      <c r="A1947" s="30">
        <v>44461</v>
      </c>
      <c r="B1947" s="28">
        <v>143.808716</v>
      </c>
      <c r="C1947" s="28">
        <f t="shared" si="39"/>
        <v>1.6731647084598331E-2</v>
      </c>
      <c r="D1947" s="31">
        <v>4395.6400000000003</v>
      </c>
      <c r="E1947" s="28">
        <f t="shared" si="39"/>
        <v>9.4745406640912491E-3</v>
      </c>
    </row>
    <row r="1948" spans="1:5">
      <c r="A1948" s="30">
        <v>44462</v>
      </c>
      <c r="B1948" s="28">
        <v>144.77500900000001</v>
      </c>
      <c r="C1948" s="28">
        <f t="shared" si="39"/>
        <v>6.6968198661080851E-3</v>
      </c>
      <c r="D1948" s="31">
        <v>4448.9799999999996</v>
      </c>
      <c r="E1948" s="28">
        <f t="shared" si="39"/>
        <v>1.2061715863250257E-2</v>
      </c>
    </row>
    <row r="1949" spans="1:5">
      <c r="A1949" s="30">
        <v>44463</v>
      </c>
      <c r="B1949" s="28">
        <v>144.86373900000001</v>
      </c>
      <c r="C1949" s="28">
        <f t="shared" si="39"/>
        <v>6.1269428478360512E-4</v>
      </c>
      <c r="D1949" s="31">
        <v>4455.4799999999996</v>
      </c>
      <c r="E1949" s="28">
        <f t="shared" si="39"/>
        <v>1.4599428049598621E-3</v>
      </c>
    </row>
    <row r="1950" spans="1:5">
      <c r="A1950" s="30">
        <v>44466</v>
      </c>
      <c r="B1950" s="28">
        <v>143.33544900000001</v>
      </c>
      <c r="C1950" s="28">
        <f t="shared" si="39"/>
        <v>-1.0605889186384087E-2</v>
      </c>
      <c r="D1950" s="31">
        <v>4443.1099999999997</v>
      </c>
      <c r="E1950" s="28">
        <f t="shared" si="39"/>
        <v>-2.7802175328761427E-3</v>
      </c>
    </row>
    <row r="1951" spans="1:5">
      <c r="A1951" s="30">
        <v>44467</v>
      </c>
      <c r="B1951" s="28">
        <v>139.92387400000001</v>
      </c>
      <c r="C1951" s="28">
        <f t="shared" si="39"/>
        <v>-2.4089162798761176E-2</v>
      </c>
      <c r="D1951" s="31">
        <v>4352.63</v>
      </c>
      <c r="E1951" s="28">
        <f t="shared" si="39"/>
        <v>-2.0574321587474437E-2</v>
      </c>
    </row>
    <row r="1952" spans="1:5">
      <c r="A1952" s="30">
        <v>44468</v>
      </c>
      <c r="B1952" s="28">
        <v>140.83100899999999</v>
      </c>
      <c r="C1952" s="28">
        <f t="shared" si="39"/>
        <v>6.4621362739931383E-3</v>
      </c>
      <c r="D1952" s="31">
        <v>4359.46</v>
      </c>
      <c r="E1952" s="28">
        <f t="shared" si="39"/>
        <v>1.5679363733049781E-3</v>
      </c>
    </row>
    <row r="1953" spans="1:5">
      <c r="A1953" s="30">
        <v>44469</v>
      </c>
      <c r="B1953" s="28">
        <v>139.51963799999999</v>
      </c>
      <c r="C1953" s="28">
        <f t="shared" si="39"/>
        <v>-9.3552883037005142E-3</v>
      </c>
      <c r="D1953" s="31">
        <v>4307.54</v>
      </c>
      <c r="E1953" s="28">
        <f t="shared" si="39"/>
        <v>-1.1981220973814677E-2</v>
      </c>
    </row>
    <row r="1954" spans="1:5">
      <c r="A1954" s="30">
        <v>44470</v>
      </c>
      <c r="B1954" s="28">
        <v>140.65351899999999</v>
      </c>
      <c r="C1954" s="28">
        <f t="shared" si="39"/>
        <v>8.094188627749967E-3</v>
      </c>
      <c r="D1954" s="31">
        <v>4357.04</v>
      </c>
      <c r="E1954" s="28">
        <f t="shared" si="39"/>
        <v>1.1425952216359555E-2</v>
      </c>
    </row>
    <row r="1955" spans="1:5">
      <c r="A1955" s="30">
        <v>44473</v>
      </c>
      <c r="B1955" s="28">
        <v>137.192612</v>
      </c>
      <c r="C1955" s="28">
        <f t="shared" si="39"/>
        <v>-2.4913688729555208E-2</v>
      </c>
      <c r="D1955" s="31">
        <v>4300.46</v>
      </c>
      <c r="E1955" s="28">
        <f t="shared" si="39"/>
        <v>-1.3070933999937525E-2</v>
      </c>
    </row>
    <row r="1956" spans="1:5">
      <c r="A1956" s="30">
        <v>44474</v>
      </c>
      <c r="B1956" s="28">
        <v>139.135086</v>
      </c>
      <c r="C1956" s="28">
        <f t="shared" si="39"/>
        <v>1.4059437479470863E-2</v>
      </c>
      <c r="D1956" s="31">
        <v>4345.72</v>
      </c>
      <c r="E1956" s="28">
        <f t="shared" si="39"/>
        <v>1.0469458977261837E-2</v>
      </c>
    </row>
    <row r="1957" spans="1:5">
      <c r="A1957" s="30">
        <v>44475</v>
      </c>
      <c r="B1957" s="28">
        <v>140.01258899999999</v>
      </c>
      <c r="C1957" s="28">
        <f t="shared" si="39"/>
        <v>6.2870370703089233E-3</v>
      </c>
      <c r="D1957" s="31">
        <v>4363.55</v>
      </c>
      <c r="E1957" s="28">
        <f t="shared" si="39"/>
        <v>4.0944935476352412E-3</v>
      </c>
    </row>
    <row r="1958" spans="1:5">
      <c r="A1958" s="30">
        <v>44476</v>
      </c>
      <c r="B1958" s="28">
        <v>141.284561</v>
      </c>
      <c r="C1958" s="28">
        <f t="shared" si="39"/>
        <v>9.0436797481989288E-3</v>
      </c>
      <c r="D1958" s="31">
        <v>4399.76</v>
      </c>
      <c r="E1958" s="28">
        <f t="shared" si="39"/>
        <v>8.2640477350165494E-3</v>
      </c>
    </row>
    <row r="1959" spans="1:5">
      <c r="A1959" s="30">
        <v>44477</v>
      </c>
      <c r="B1959" s="28">
        <v>140.90000900000001</v>
      </c>
      <c r="C1959" s="28">
        <f t="shared" si="39"/>
        <v>-2.7255369636641083E-3</v>
      </c>
      <c r="D1959" s="31">
        <v>4391.34</v>
      </c>
      <c r="E1959" s="28">
        <f t="shared" si="39"/>
        <v>-1.9155742909790841E-3</v>
      </c>
    </row>
    <row r="1960" spans="1:5">
      <c r="A1960" s="30">
        <v>44480</v>
      </c>
      <c r="B1960" s="28">
        <v>140.811295</v>
      </c>
      <c r="C1960" s="28">
        <f t="shared" si="39"/>
        <v>-6.2982210279050196E-4</v>
      </c>
      <c r="D1960" s="31">
        <v>4361.1899999999996</v>
      </c>
      <c r="E1960" s="28">
        <f t="shared" si="39"/>
        <v>-6.8894637904681668E-3</v>
      </c>
    </row>
    <row r="1961" spans="1:5">
      <c r="A1961" s="30">
        <v>44481</v>
      </c>
      <c r="B1961" s="28">
        <v>139.52948000000001</v>
      </c>
      <c r="C1961" s="28">
        <f t="shared" si="39"/>
        <v>-9.1447555768644859E-3</v>
      </c>
      <c r="D1961" s="31">
        <v>4350.6499999999996</v>
      </c>
      <c r="E1961" s="28">
        <f t="shared" si="39"/>
        <v>-2.4196966754627294E-3</v>
      </c>
    </row>
    <row r="1962" spans="1:5">
      <c r="A1962" s="30">
        <v>44482</v>
      </c>
      <c r="B1962" s="28">
        <v>138.937881</v>
      </c>
      <c r="C1962" s="28">
        <f t="shared" si="39"/>
        <v>-4.2489711391949462E-3</v>
      </c>
      <c r="D1962" s="31">
        <v>4363.8</v>
      </c>
      <c r="E1962" s="28">
        <f t="shared" si="39"/>
        <v>3.0179781813102643E-3</v>
      </c>
    </row>
    <row r="1963" spans="1:5">
      <c r="A1963" s="30">
        <v>44483</v>
      </c>
      <c r="B1963" s="28">
        <v>141.74795499999999</v>
      </c>
      <c r="C1963" s="28">
        <f t="shared" si="39"/>
        <v>2.0023581735162447E-2</v>
      </c>
      <c r="D1963" s="31">
        <v>4438.26</v>
      </c>
      <c r="E1963" s="28">
        <f t="shared" si="39"/>
        <v>1.6919170336133042E-2</v>
      </c>
    </row>
    <row r="1964" spans="1:5">
      <c r="A1964" s="30">
        <v>44484</v>
      </c>
      <c r="B1964" s="28">
        <v>142.81286600000001</v>
      </c>
      <c r="C1964" s="28">
        <f t="shared" si="39"/>
        <v>7.4846281900814177E-3</v>
      </c>
      <c r="D1964" s="31">
        <v>4471.37</v>
      </c>
      <c r="E1964" s="28">
        <f t="shared" si="39"/>
        <v>7.4324416209213713E-3</v>
      </c>
    </row>
    <row r="1965" spans="1:5">
      <c r="A1965" s="30">
        <v>44487</v>
      </c>
      <c r="B1965" s="28">
        <v>144.49891700000001</v>
      </c>
      <c r="C1965" s="28">
        <f t="shared" si="39"/>
        <v>1.1736868828596893E-2</v>
      </c>
      <c r="D1965" s="31">
        <v>4486.46</v>
      </c>
      <c r="E1965" s="28">
        <f t="shared" si="39"/>
        <v>3.3691227169670899E-3</v>
      </c>
    </row>
    <row r="1966" spans="1:5">
      <c r="A1966" s="30">
        <v>44488</v>
      </c>
      <c r="B1966" s="28">
        <v>146.67797899999999</v>
      </c>
      <c r="C1966" s="28">
        <f t="shared" si="39"/>
        <v>1.496755210060907E-2</v>
      </c>
      <c r="D1966" s="31">
        <v>4519.63</v>
      </c>
      <c r="E1966" s="28">
        <f t="shared" si="39"/>
        <v>7.366160006043284E-3</v>
      </c>
    </row>
    <row r="1967" spans="1:5">
      <c r="A1967" s="30">
        <v>44489</v>
      </c>
      <c r="B1967" s="28">
        <v>147.17098999999999</v>
      </c>
      <c r="C1967" s="28">
        <f t="shared" si="39"/>
        <v>3.3555432525273943E-3</v>
      </c>
      <c r="D1967" s="31">
        <v>4536.1899999999996</v>
      </c>
      <c r="E1967" s="28">
        <f t="shared" si="39"/>
        <v>3.6573205869523144E-3</v>
      </c>
    </row>
    <row r="1968" spans="1:5">
      <c r="A1968" s="30">
        <v>44490</v>
      </c>
      <c r="B1968" s="28">
        <v>147.38790900000001</v>
      </c>
      <c r="C1968" s="28">
        <f t="shared" si="39"/>
        <v>1.4728398289727009E-3</v>
      </c>
      <c r="D1968" s="31">
        <v>4549.78</v>
      </c>
      <c r="E1968" s="28">
        <f t="shared" si="39"/>
        <v>2.9914274720985803E-3</v>
      </c>
    </row>
    <row r="1969" spans="1:5">
      <c r="A1969" s="30">
        <v>44491</v>
      </c>
      <c r="B1969" s="28">
        <v>146.60900899999999</v>
      </c>
      <c r="C1969" s="28">
        <f t="shared" si="39"/>
        <v>-5.2987073992728636E-3</v>
      </c>
      <c r="D1969" s="31">
        <v>4544.8999999999996</v>
      </c>
      <c r="E1969" s="28">
        <f t="shared" si="39"/>
        <v>-1.0731549583585973E-3</v>
      </c>
    </row>
    <row r="1970" spans="1:5">
      <c r="A1970" s="30">
        <v>44494</v>
      </c>
      <c r="B1970" s="28">
        <v>146.559708</v>
      </c>
      <c r="C1970" s="28">
        <f t="shared" si="39"/>
        <v>-3.3633193179151872E-4</v>
      </c>
      <c r="D1970" s="31">
        <v>4566.4799999999996</v>
      </c>
      <c r="E1970" s="28">
        <f t="shared" si="39"/>
        <v>4.7369422309476855E-3</v>
      </c>
    </row>
    <row r="1971" spans="1:5">
      <c r="A1971" s="30">
        <v>44495</v>
      </c>
      <c r="B1971" s="28">
        <v>147.230164</v>
      </c>
      <c r="C1971" s="28">
        <f t="shared" si="39"/>
        <v>4.5641952143563929E-3</v>
      </c>
      <c r="D1971" s="31">
        <v>4574.79</v>
      </c>
      <c r="E1971" s="28">
        <f t="shared" si="39"/>
        <v>1.818128616510003E-3</v>
      </c>
    </row>
    <row r="1972" spans="1:5">
      <c r="A1972" s="30">
        <v>44496</v>
      </c>
      <c r="B1972" s="28">
        <v>146.766739</v>
      </c>
      <c r="C1972" s="28">
        <f t="shared" si="39"/>
        <v>-3.1525868408493014E-3</v>
      </c>
      <c r="D1972" s="31">
        <v>4551.68</v>
      </c>
      <c r="E1972" s="28">
        <f t="shared" si="39"/>
        <v>-5.0644004514438486E-3</v>
      </c>
    </row>
    <row r="1973" spans="1:5">
      <c r="A1973" s="30">
        <v>44497</v>
      </c>
      <c r="B1973" s="28">
        <v>150.434708</v>
      </c>
      <c r="C1973" s="28">
        <f t="shared" si="39"/>
        <v>2.4684639229475971E-2</v>
      </c>
      <c r="D1973" s="31">
        <v>4596.42</v>
      </c>
      <c r="E1973" s="28">
        <f t="shared" si="39"/>
        <v>9.7813440400895506E-3</v>
      </c>
    </row>
    <row r="1974" spans="1:5">
      <c r="A1974" s="30">
        <v>44498</v>
      </c>
      <c r="B1974" s="28">
        <v>147.70341500000001</v>
      </c>
      <c r="C1974" s="28">
        <f t="shared" si="39"/>
        <v>-1.8322845707091959E-2</v>
      </c>
      <c r="D1974" s="31">
        <v>4605.38</v>
      </c>
      <c r="E1974" s="28">
        <f t="shared" si="39"/>
        <v>1.9474456805769699E-3</v>
      </c>
    </row>
    <row r="1975" spans="1:5">
      <c r="A1975" s="30">
        <v>44501</v>
      </c>
      <c r="B1975" s="28">
        <v>146.87518299999999</v>
      </c>
      <c r="C1975" s="28">
        <f t="shared" si="39"/>
        <v>-5.6231796065541201E-3</v>
      </c>
      <c r="D1975" s="31">
        <v>4613.67</v>
      </c>
      <c r="E1975" s="28">
        <f t="shared" si="39"/>
        <v>1.7984504334932693E-3</v>
      </c>
    </row>
    <row r="1976" spans="1:5">
      <c r="A1976" s="30">
        <v>44502</v>
      </c>
      <c r="B1976" s="28">
        <v>147.92036400000001</v>
      </c>
      <c r="C1976" s="28">
        <f t="shared" si="39"/>
        <v>7.0909170103637918E-3</v>
      </c>
      <c r="D1976" s="31">
        <v>4630.6499999999996</v>
      </c>
      <c r="E1976" s="28">
        <f t="shared" si="39"/>
        <v>3.673611276116367E-3</v>
      </c>
    </row>
    <row r="1977" spans="1:5">
      <c r="A1977" s="30">
        <v>44503</v>
      </c>
      <c r="B1977" s="28">
        <v>149.36979700000001</v>
      </c>
      <c r="C1977" s="28">
        <f t="shared" si="39"/>
        <v>9.7510424145131492E-3</v>
      </c>
      <c r="D1977" s="31">
        <v>4660.57</v>
      </c>
      <c r="E1977" s="28">
        <f t="shared" si="39"/>
        <v>6.4405112404735685E-3</v>
      </c>
    </row>
    <row r="1978" spans="1:5">
      <c r="A1978" s="30">
        <v>44504</v>
      </c>
      <c r="B1978" s="28">
        <v>148.84719799999999</v>
      </c>
      <c r="C1978" s="28">
        <f t="shared" si="39"/>
        <v>-3.5048273151502144E-3</v>
      </c>
      <c r="D1978" s="31">
        <v>4680.0600000000004</v>
      </c>
      <c r="E1978" s="28">
        <f t="shared" si="39"/>
        <v>4.1731721062601788E-3</v>
      </c>
    </row>
    <row r="1979" spans="1:5">
      <c r="A1979" s="30">
        <v>44505</v>
      </c>
      <c r="B1979" s="28">
        <v>149.38041699999999</v>
      </c>
      <c r="C1979" s="28">
        <f t="shared" si="39"/>
        <v>3.5759234985622283E-3</v>
      </c>
      <c r="D1979" s="31">
        <v>4697.53</v>
      </c>
      <c r="E1979" s="28">
        <f t="shared" si="39"/>
        <v>3.7259083006282606E-3</v>
      </c>
    </row>
    <row r="1980" spans="1:5">
      <c r="A1980" s="30">
        <v>44508</v>
      </c>
      <c r="B1980" s="28">
        <v>148.55098000000001</v>
      </c>
      <c r="C1980" s="28">
        <f t="shared" si="39"/>
        <v>-5.5679874711751119E-3</v>
      </c>
      <c r="D1980" s="31">
        <v>4701.7</v>
      </c>
      <c r="E1980" s="28">
        <f t="shared" si="39"/>
        <v>8.8730678440489285E-4</v>
      </c>
    </row>
    <row r="1981" spans="1:5">
      <c r="A1981" s="30">
        <v>44509</v>
      </c>
      <c r="B1981" s="28">
        <v>148.916336</v>
      </c>
      <c r="C1981" s="28">
        <f t="shared" si="39"/>
        <v>2.4564458955014202E-3</v>
      </c>
      <c r="D1981" s="31">
        <v>4685.25</v>
      </c>
      <c r="E1981" s="28">
        <f t="shared" si="39"/>
        <v>-3.504869385575243E-3</v>
      </c>
    </row>
    <row r="1982" spans="1:5">
      <c r="A1982" s="30">
        <v>44510</v>
      </c>
      <c r="B1982" s="28">
        <v>146.062622</v>
      </c>
      <c r="C1982" s="28">
        <f t="shared" si="39"/>
        <v>-1.934919733010209E-2</v>
      </c>
      <c r="D1982" s="31">
        <v>4646.71</v>
      </c>
      <c r="E1982" s="28">
        <f t="shared" si="39"/>
        <v>-8.259833757375561E-3</v>
      </c>
    </row>
    <row r="1983" spans="1:5">
      <c r="A1983" s="30">
        <v>44511</v>
      </c>
      <c r="B1983" s="28">
        <v>146.01324500000001</v>
      </c>
      <c r="C1983" s="28">
        <f t="shared" si="39"/>
        <v>-3.3811078592386302E-4</v>
      </c>
      <c r="D1983" s="31">
        <v>4649.2700000000004</v>
      </c>
      <c r="E1983" s="28">
        <f t="shared" si="39"/>
        <v>5.5077572557522153E-4</v>
      </c>
    </row>
    <row r="1984" spans="1:5">
      <c r="A1984" s="30">
        <v>44512</v>
      </c>
      <c r="B1984" s="28">
        <v>148.106628</v>
      </c>
      <c r="C1984" s="28">
        <f t="shared" si="39"/>
        <v>1.4235137045562342E-2</v>
      </c>
      <c r="D1984" s="31">
        <v>4682.8500000000004</v>
      </c>
      <c r="E1984" s="28">
        <f t="shared" si="39"/>
        <v>7.196680911038463E-3</v>
      </c>
    </row>
    <row r="1985" spans="1:5">
      <c r="A1985" s="30">
        <v>44515</v>
      </c>
      <c r="B1985" s="28">
        <v>148.116501</v>
      </c>
      <c r="C1985" s="28">
        <f t="shared" si="39"/>
        <v>6.6659210825140806E-5</v>
      </c>
      <c r="D1985" s="31">
        <v>4682.8</v>
      </c>
      <c r="E1985" s="28">
        <f t="shared" si="39"/>
        <v>-1.0677315509449458E-5</v>
      </c>
    </row>
    <row r="1986" spans="1:5">
      <c r="A1986" s="30">
        <v>44516</v>
      </c>
      <c r="B1986" s="28">
        <v>149.103928</v>
      </c>
      <c r="C1986" s="28">
        <f t="shared" si="39"/>
        <v>6.6444331306829765E-3</v>
      </c>
      <c r="D1986" s="31">
        <v>4700.8999999999996</v>
      </c>
      <c r="E1986" s="28">
        <f t="shared" si="39"/>
        <v>3.8577581225869607E-3</v>
      </c>
    </row>
    <row r="1987" spans="1:5">
      <c r="A1987" s="30">
        <v>44517</v>
      </c>
      <c r="B1987" s="28">
        <v>151.56269800000001</v>
      </c>
      <c r="C1987" s="28">
        <f t="shared" si="39"/>
        <v>1.6355821363948274E-2</v>
      </c>
      <c r="D1987" s="31">
        <v>4688.67</v>
      </c>
      <c r="E1987" s="28">
        <f t="shared" si="39"/>
        <v>-2.6050195943357248E-3</v>
      </c>
    </row>
    <row r="1988" spans="1:5">
      <c r="A1988" s="30">
        <v>44518</v>
      </c>
      <c r="B1988" s="28">
        <v>155.88767999999999</v>
      </c>
      <c r="C1988" s="28">
        <f t="shared" si="39"/>
        <v>2.8136360402352102E-2</v>
      </c>
      <c r="D1988" s="31">
        <v>4704.54</v>
      </c>
      <c r="E1988" s="28">
        <f t="shared" si="39"/>
        <v>3.379039774514253E-3</v>
      </c>
    </row>
    <row r="1989" spans="1:5">
      <c r="A1989" s="30">
        <v>44519</v>
      </c>
      <c r="B1989" s="28">
        <v>158.53401199999999</v>
      </c>
      <c r="C1989" s="28">
        <f t="shared" ref="C1989:E2052" si="40">LN(B1989/B1988)</f>
        <v>1.6833409122626417E-2</v>
      </c>
      <c r="D1989" s="31">
        <v>4697.96</v>
      </c>
      <c r="E1989" s="28">
        <f t="shared" si="40"/>
        <v>-1.3996279870592404E-3</v>
      </c>
    </row>
    <row r="1990" spans="1:5">
      <c r="A1990" s="30">
        <v>44522</v>
      </c>
      <c r="B1990" s="28">
        <v>158.99812299999999</v>
      </c>
      <c r="C1990" s="28">
        <f t="shared" si="40"/>
        <v>2.9232400714248371E-3</v>
      </c>
      <c r="D1990" s="31">
        <v>4682.9399999999996</v>
      </c>
      <c r="E1990" s="28">
        <f t="shared" si="40"/>
        <v>-3.2022541195681504E-3</v>
      </c>
    </row>
    <row r="1991" spans="1:5">
      <c r="A1991" s="30">
        <v>44523</v>
      </c>
      <c r="B1991" s="28">
        <v>159.38322400000001</v>
      </c>
      <c r="C1991" s="28">
        <f t="shared" si="40"/>
        <v>2.4191190308980775E-3</v>
      </c>
      <c r="D1991" s="31">
        <v>4690.7</v>
      </c>
      <c r="E1991" s="28">
        <f t="shared" si="40"/>
        <v>1.655707232782677E-3</v>
      </c>
    </row>
    <row r="1992" spans="1:5">
      <c r="A1992" s="30">
        <v>44524</v>
      </c>
      <c r="B1992" s="28">
        <v>159.906586</v>
      </c>
      <c r="C1992" s="28">
        <f t="shared" si="40"/>
        <v>3.2782910843449312E-3</v>
      </c>
      <c r="D1992" s="31">
        <v>4701.46</v>
      </c>
      <c r="E1992" s="28">
        <f t="shared" si="40"/>
        <v>2.2912737234973743E-3</v>
      </c>
    </row>
    <row r="1993" spans="1:5">
      <c r="A1993" s="30">
        <v>44526</v>
      </c>
      <c r="B1993" s="28">
        <v>154.840958</v>
      </c>
      <c r="C1993" s="28">
        <f t="shared" si="40"/>
        <v>-3.2191294512265337E-2</v>
      </c>
      <c r="D1993" s="31">
        <v>4594.62</v>
      </c>
      <c r="E1993" s="28">
        <f t="shared" si="40"/>
        <v>-2.2987044973283768E-2</v>
      </c>
    </row>
    <row r="1994" spans="1:5">
      <c r="A1994" s="30">
        <v>44529</v>
      </c>
      <c r="B1994" s="28">
        <v>158.22790499999999</v>
      </c>
      <c r="C1994" s="28">
        <f t="shared" si="40"/>
        <v>2.1637917701223773E-2</v>
      </c>
      <c r="D1994" s="31">
        <v>4655.2700000000004</v>
      </c>
      <c r="E1994" s="28">
        <f t="shared" si="40"/>
        <v>1.3113857392683798E-2</v>
      </c>
    </row>
    <row r="1995" spans="1:5">
      <c r="A1995" s="30">
        <v>44530</v>
      </c>
      <c r="B1995" s="28">
        <v>163.22438</v>
      </c>
      <c r="C1995" s="28">
        <f t="shared" si="40"/>
        <v>3.108938820443749E-2</v>
      </c>
      <c r="D1995" s="31">
        <v>4567</v>
      </c>
      <c r="E1995" s="28">
        <f t="shared" si="40"/>
        <v>-1.9143376992336782E-2</v>
      </c>
    </row>
    <row r="1996" spans="1:5">
      <c r="A1996" s="30">
        <v>44531</v>
      </c>
      <c r="B1996" s="28">
        <v>162.70103499999999</v>
      </c>
      <c r="C1996" s="28">
        <f t="shared" si="40"/>
        <v>-3.2114430216331415E-3</v>
      </c>
      <c r="D1996" s="31">
        <v>4513.04</v>
      </c>
      <c r="E1996" s="28">
        <f t="shared" si="40"/>
        <v>-1.1885550113429818E-2</v>
      </c>
    </row>
    <row r="1997" spans="1:5">
      <c r="A1997" s="30">
        <v>44532</v>
      </c>
      <c r="B1997" s="28">
        <v>161.70372</v>
      </c>
      <c r="C1997" s="28">
        <f t="shared" si="40"/>
        <v>-6.1486037218106311E-3</v>
      </c>
      <c r="D1997" s="31">
        <v>4577.1000000000004</v>
      </c>
      <c r="E1997" s="28">
        <f t="shared" si="40"/>
        <v>1.4094625715697029E-2</v>
      </c>
    </row>
    <row r="1998" spans="1:5">
      <c r="A1998" s="30">
        <v>44533</v>
      </c>
      <c r="B1998" s="28">
        <v>159.80783099999999</v>
      </c>
      <c r="C1998" s="28">
        <f t="shared" si="40"/>
        <v>-1.1793734746573995E-2</v>
      </c>
      <c r="D1998" s="31">
        <v>4538.43</v>
      </c>
      <c r="E1998" s="28">
        <f t="shared" si="40"/>
        <v>-8.4844725376341974E-3</v>
      </c>
    </row>
    <row r="1999" spans="1:5">
      <c r="A1999" s="30">
        <v>44536</v>
      </c>
      <c r="B1999" s="28">
        <v>163.244156</v>
      </c>
      <c r="C1999" s="28">
        <f t="shared" si="40"/>
        <v>2.1274932522007024E-2</v>
      </c>
      <c r="D1999" s="31">
        <v>4591.67</v>
      </c>
      <c r="E1999" s="28">
        <f t="shared" si="40"/>
        <v>1.1662655055923081E-2</v>
      </c>
    </row>
    <row r="2000" spans="1:5">
      <c r="A2000" s="30">
        <v>44537</v>
      </c>
      <c r="B2000" s="28">
        <v>169.03053299999999</v>
      </c>
      <c r="C2000" s="28">
        <f t="shared" si="40"/>
        <v>3.4832397583780719E-2</v>
      </c>
      <c r="D2000" s="31">
        <v>4686.75</v>
      </c>
      <c r="E2000" s="28">
        <f t="shared" si="40"/>
        <v>2.0495586171745628E-2</v>
      </c>
    </row>
    <row r="2001" spans="1:5">
      <c r="A2001" s="30">
        <v>44538</v>
      </c>
      <c r="B2001" s="28">
        <v>172.881607</v>
      </c>
      <c r="C2001" s="28">
        <f t="shared" si="40"/>
        <v>2.252764037697692E-2</v>
      </c>
      <c r="D2001" s="31">
        <v>4701.21</v>
      </c>
      <c r="E2001" s="28">
        <f t="shared" si="40"/>
        <v>3.0805438956169962E-3</v>
      </c>
    </row>
    <row r="2002" spans="1:5">
      <c r="A2002" s="30">
        <v>44539</v>
      </c>
      <c r="B2002" s="28">
        <v>172.36811800000001</v>
      </c>
      <c r="C2002" s="28">
        <f t="shared" si="40"/>
        <v>-2.9745968870630956E-3</v>
      </c>
      <c r="D2002" s="31">
        <v>4667.45</v>
      </c>
      <c r="E2002" s="28">
        <f t="shared" si="40"/>
        <v>-7.2070383872084483E-3</v>
      </c>
    </row>
    <row r="2003" spans="1:5">
      <c r="A2003" s="30">
        <v>44540</v>
      </c>
      <c r="B2003" s="28">
        <v>177.196686</v>
      </c>
      <c r="C2003" s="28">
        <f t="shared" si="40"/>
        <v>2.76279252310653E-2</v>
      </c>
      <c r="D2003" s="31">
        <v>4712.0200000000004</v>
      </c>
      <c r="E2003" s="28">
        <f t="shared" si="40"/>
        <v>9.5038068188789387E-3</v>
      </c>
    </row>
    <row r="2004" spans="1:5">
      <c r="A2004" s="30">
        <v>44543</v>
      </c>
      <c r="B2004" s="28">
        <v>173.53329500000001</v>
      </c>
      <c r="C2004" s="28">
        <f t="shared" si="40"/>
        <v>-2.0890852971124429E-2</v>
      </c>
      <c r="D2004" s="31">
        <v>4668.97</v>
      </c>
      <c r="E2004" s="28">
        <f t="shared" si="40"/>
        <v>-9.1782002130428933E-3</v>
      </c>
    </row>
    <row r="2005" spans="1:5">
      <c r="A2005" s="30">
        <v>44544</v>
      </c>
      <c r="B2005" s="28">
        <v>172.14099100000001</v>
      </c>
      <c r="C2005" s="28">
        <f t="shared" si="40"/>
        <v>-8.0556268465869583E-3</v>
      </c>
      <c r="D2005" s="31">
        <v>4634.09</v>
      </c>
      <c r="E2005" s="28">
        <f t="shared" si="40"/>
        <v>-7.4986431218743987E-3</v>
      </c>
    </row>
    <row r="2006" spans="1:5">
      <c r="A2006" s="30">
        <v>44545</v>
      </c>
      <c r="B2006" s="28">
        <v>177.048599</v>
      </c>
      <c r="C2006" s="28">
        <f t="shared" si="40"/>
        <v>2.8110409360902009E-2</v>
      </c>
      <c r="D2006" s="31">
        <v>4709.8500000000004</v>
      </c>
      <c r="E2006" s="28">
        <f t="shared" si="40"/>
        <v>1.6216212899904034E-2</v>
      </c>
    </row>
    <row r="2007" spans="1:5">
      <c r="A2007" s="30">
        <v>44546</v>
      </c>
      <c r="B2007" s="28">
        <v>170.09697</v>
      </c>
      <c r="C2007" s="28">
        <f t="shared" si="40"/>
        <v>-4.0055579315667958E-2</v>
      </c>
      <c r="D2007" s="31">
        <v>4668.67</v>
      </c>
      <c r="E2007" s="28">
        <f t="shared" si="40"/>
        <v>-8.7818258427533567E-3</v>
      </c>
    </row>
    <row r="2008" spans="1:5">
      <c r="A2008" s="30">
        <v>44547</v>
      </c>
      <c r="B2008" s="28">
        <v>168.99104299999999</v>
      </c>
      <c r="C2008" s="28">
        <f t="shared" si="40"/>
        <v>-6.5229726734915934E-3</v>
      </c>
      <c r="D2008" s="31">
        <v>4620.6400000000003</v>
      </c>
      <c r="E2008" s="28">
        <f t="shared" si="40"/>
        <v>-1.0341010906645293E-2</v>
      </c>
    </row>
    <row r="2009" spans="1:5">
      <c r="A2009" s="30">
        <v>44550</v>
      </c>
      <c r="B2009" s="28">
        <v>167.618515</v>
      </c>
      <c r="C2009" s="28">
        <f t="shared" si="40"/>
        <v>-8.1550602116705929E-3</v>
      </c>
      <c r="D2009" s="31">
        <v>4568.0200000000004</v>
      </c>
      <c r="E2009" s="28">
        <f t="shared" si="40"/>
        <v>-1.1453373010201799E-2</v>
      </c>
    </row>
    <row r="2010" spans="1:5">
      <c r="A2010" s="30">
        <v>44551</v>
      </c>
      <c r="B2010" s="28">
        <v>170.81781000000001</v>
      </c>
      <c r="C2010" s="28">
        <f t="shared" si="40"/>
        <v>1.8906896616144104E-2</v>
      </c>
      <c r="D2010" s="31">
        <v>4649.2299999999996</v>
      </c>
      <c r="E2010" s="28">
        <f t="shared" si="40"/>
        <v>1.7621763861808751E-2</v>
      </c>
    </row>
    <row r="2011" spans="1:5">
      <c r="A2011" s="30">
        <v>44552</v>
      </c>
      <c r="B2011" s="28">
        <v>173.43454</v>
      </c>
      <c r="C2011" s="28">
        <f t="shared" si="40"/>
        <v>1.520268720545245E-2</v>
      </c>
      <c r="D2011" s="31">
        <v>4696.5600000000004</v>
      </c>
      <c r="E2011" s="28">
        <f t="shared" si="40"/>
        <v>1.0128711352276767E-2</v>
      </c>
    </row>
    <row r="2012" spans="1:5">
      <c r="A2012" s="30">
        <v>44553</v>
      </c>
      <c r="B2012" s="28">
        <v>174.06651299999999</v>
      </c>
      <c r="C2012" s="28">
        <f t="shared" si="40"/>
        <v>3.637247664555671E-3</v>
      </c>
      <c r="D2012" s="31">
        <v>4725.79</v>
      </c>
      <c r="E2012" s="28">
        <f t="shared" si="40"/>
        <v>6.2044168953242747E-3</v>
      </c>
    </row>
    <row r="2013" spans="1:5">
      <c r="A2013" s="30">
        <v>44557</v>
      </c>
      <c r="B2013" s="28">
        <v>178.06565900000001</v>
      </c>
      <c r="C2013" s="28">
        <f t="shared" si="40"/>
        <v>2.2714868269493618E-2</v>
      </c>
      <c r="D2013" s="31">
        <v>4791.1899999999996</v>
      </c>
      <c r="E2013" s="28">
        <f t="shared" si="40"/>
        <v>1.3744072068897223E-2</v>
      </c>
    </row>
    <row r="2014" spans="1:5">
      <c r="A2014" s="30">
        <v>44558</v>
      </c>
      <c r="B2014" s="28">
        <v>177.03872699999999</v>
      </c>
      <c r="C2014" s="28">
        <f t="shared" si="40"/>
        <v>-5.7838478109879911E-3</v>
      </c>
      <c r="D2014" s="31">
        <v>4786.3500000000004</v>
      </c>
      <c r="E2014" s="28">
        <f t="shared" si="40"/>
        <v>-1.0106980314378653E-3</v>
      </c>
    </row>
    <row r="2015" spans="1:5">
      <c r="A2015" s="30">
        <v>44559</v>
      </c>
      <c r="B2015" s="28">
        <v>177.12762499999999</v>
      </c>
      <c r="C2015" s="28">
        <f t="shared" si="40"/>
        <v>5.0201269186068011E-4</v>
      </c>
      <c r="D2015" s="31">
        <v>4793.0600000000004</v>
      </c>
      <c r="E2015" s="28">
        <f t="shared" si="40"/>
        <v>1.4009215802245781E-3</v>
      </c>
    </row>
    <row r="2016" spans="1:5">
      <c r="A2016" s="30">
        <v>44560</v>
      </c>
      <c r="B2016" s="28">
        <v>175.962402</v>
      </c>
      <c r="C2016" s="28">
        <f t="shared" si="40"/>
        <v>-6.6001707262904599E-3</v>
      </c>
      <c r="D2016" s="31">
        <v>4778.7299999999996</v>
      </c>
      <c r="E2016" s="28">
        <f t="shared" si="40"/>
        <v>-2.9942175300769428E-3</v>
      </c>
    </row>
    <row r="2017" spans="1:5">
      <c r="A2017" s="30">
        <v>44561</v>
      </c>
      <c r="B2017" s="28">
        <v>175.34034700000001</v>
      </c>
      <c r="C2017" s="28">
        <f t="shared" si="40"/>
        <v>-3.5414220463950855E-3</v>
      </c>
      <c r="D2017" s="31">
        <v>4766.18</v>
      </c>
      <c r="E2017" s="28">
        <f t="shared" si="40"/>
        <v>-2.6296753415458013E-3</v>
      </c>
    </row>
    <row r="2018" spans="1:5">
      <c r="A2018" s="30">
        <v>44564</v>
      </c>
      <c r="B2018" s="28">
        <v>179.72453300000001</v>
      </c>
      <c r="C2018" s="28">
        <f t="shared" si="40"/>
        <v>2.4696381281629237E-2</v>
      </c>
      <c r="D2018" s="31">
        <v>4796.5600000000004</v>
      </c>
      <c r="E2018" s="28">
        <f t="shared" si="40"/>
        <v>6.3538488355527438E-3</v>
      </c>
    </row>
    <row r="2019" spans="1:5">
      <c r="A2019" s="30">
        <v>44565</v>
      </c>
      <c r="B2019" s="28">
        <v>177.443558</v>
      </c>
      <c r="C2019" s="28">
        <f t="shared" si="40"/>
        <v>-1.2772731202781995E-2</v>
      </c>
      <c r="D2019" s="31">
        <v>4793.54</v>
      </c>
      <c r="E2019" s="28">
        <f t="shared" si="40"/>
        <v>-6.2981618540545298E-4</v>
      </c>
    </row>
    <row r="2020" spans="1:5">
      <c r="A2020" s="30">
        <v>44566</v>
      </c>
      <c r="B2020" s="28">
        <v>172.72357199999999</v>
      </c>
      <c r="C2020" s="28">
        <f t="shared" si="40"/>
        <v>-2.6960108386054338E-2</v>
      </c>
      <c r="D2020" s="31">
        <v>4700.58</v>
      </c>
      <c r="E2020" s="28">
        <f t="shared" si="40"/>
        <v>-1.9583272775802296E-2</v>
      </c>
    </row>
    <row r="2021" spans="1:5">
      <c r="A2021" s="30">
        <v>44567</v>
      </c>
      <c r="B2021" s="28">
        <v>169.840271</v>
      </c>
      <c r="C2021" s="28">
        <f t="shared" si="40"/>
        <v>-1.6834053850344945E-2</v>
      </c>
      <c r="D2021" s="31">
        <v>4696.05</v>
      </c>
      <c r="E2021" s="28">
        <f t="shared" si="40"/>
        <v>-9.6417552908581125E-4</v>
      </c>
    </row>
    <row r="2022" spans="1:5">
      <c r="A2022" s="30">
        <v>44568</v>
      </c>
      <c r="B2022" s="28">
        <v>170.008118</v>
      </c>
      <c r="C2022" s="28">
        <f t="shared" si="40"/>
        <v>9.8777583816864168E-4</v>
      </c>
      <c r="D2022" s="31">
        <v>4677.03</v>
      </c>
      <c r="E2022" s="28">
        <f t="shared" si="40"/>
        <v>-4.0584367372055773E-3</v>
      </c>
    </row>
    <row r="2023" spans="1:5">
      <c r="A2023" s="30">
        <v>44571</v>
      </c>
      <c r="B2023" s="28">
        <v>170.027863</v>
      </c>
      <c r="C2023" s="28">
        <f t="shared" si="40"/>
        <v>1.1613476882132528E-4</v>
      </c>
      <c r="D2023" s="31">
        <v>4670.29</v>
      </c>
      <c r="E2023" s="28">
        <f t="shared" si="40"/>
        <v>-1.4421248375173315E-3</v>
      </c>
    </row>
    <row r="2024" spans="1:5">
      <c r="A2024" s="30">
        <v>44572</v>
      </c>
      <c r="B2024" s="28">
        <v>172.881607</v>
      </c>
      <c r="C2024" s="28">
        <f t="shared" si="40"/>
        <v>1.6644684000366328E-2</v>
      </c>
      <c r="D2024" s="31">
        <v>4713.07</v>
      </c>
      <c r="E2024" s="28">
        <f t="shared" si="40"/>
        <v>9.118332112991406E-3</v>
      </c>
    </row>
    <row r="2025" spans="1:5">
      <c r="A2025" s="30">
        <v>44573</v>
      </c>
      <c r="B2025" s="28">
        <v>173.32591199999999</v>
      </c>
      <c r="C2025" s="28">
        <f t="shared" si="40"/>
        <v>2.5666989856527587E-3</v>
      </c>
      <c r="D2025" s="31">
        <v>4726.3500000000004</v>
      </c>
      <c r="E2025" s="28">
        <f t="shared" si="40"/>
        <v>2.8137340560308905E-3</v>
      </c>
    </row>
    <row r="2026" spans="1:5">
      <c r="A2026" s="30">
        <v>44574</v>
      </c>
      <c r="B2026" s="28">
        <v>170.027863</v>
      </c>
      <c r="C2026" s="28">
        <f t="shared" si="40"/>
        <v>-1.9211382986018908E-2</v>
      </c>
      <c r="D2026" s="31">
        <v>4659.03</v>
      </c>
      <c r="E2026" s="28">
        <f t="shared" si="40"/>
        <v>-1.4345962458906215E-2</v>
      </c>
    </row>
    <row r="2027" spans="1:5">
      <c r="A2027" s="30">
        <v>44575</v>
      </c>
      <c r="B2027" s="28">
        <v>170.89681999999999</v>
      </c>
      <c r="C2027" s="28">
        <f t="shared" si="40"/>
        <v>5.0976589555690437E-3</v>
      </c>
      <c r="D2027" s="31">
        <v>4662.8500000000004</v>
      </c>
      <c r="E2027" s="28">
        <f t="shared" si="40"/>
        <v>8.1957721271400563E-4</v>
      </c>
    </row>
    <row r="2028" spans="1:5">
      <c r="A2028" s="30">
        <v>44579</v>
      </c>
      <c r="B2028" s="28">
        <v>167.667877</v>
      </c>
      <c r="C2028" s="28">
        <f t="shared" si="40"/>
        <v>-1.9074882482245519E-2</v>
      </c>
      <c r="D2028" s="31">
        <v>4577.1099999999997</v>
      </c>
      <c r="E2028" s="28">
        <f t="shared" si="40"/>
        <v>-1.8559054584436702E-2</v>
      </c>
    </row>
    <row r="2029" spans="1:5">
      <c r="A2029" s="30">
        <v>44580</v>
      </c>
      <c r="B2029" s="28">
        <v>164.14271500000001</v>
      </c>
      <c r="C2029" s="28">
        <f t="shared" si="40"/>
        <v>-2.1248837270789297E-2</v>
      </c>
      <c r="D2029" s="31">
        <v>4532.76</v>
      </c>
      <c r="E2029" s="28">
        <f t="shared" si="40"/>
        <v>-9.7367691046557382E-3</v>
      </c>
    </row>
    <row r="2030" spans="1:5">
      <c r="A2030" s="30">
        <v>44581</v>
      </c>
      <c r="B2030" s="28">
        <v>162.44429</v>
      </c>
      <c r="C2030" s="28">
        <f t="shared" si="40"/>
        <v>-1.040115060199993E-2</v>
      </c>
      <c r="D2030" s="31">
        <v>4482.7299999999996</v>
      </c>
      <c r="E2030" s="28">
        <f t="shared" si="40"/>
        <v>-1.1098789654240207E-2</v>
      </c>
    </row>
    <row r="2031" spans="1:5">
      <c r="A2031" s="30">
        <v>44582</v>
      </c>
      <c r="B2031" s="28">
        <v>160.37068199999999</v>
      </c>
      <c r="C2031" s="28">
        <f t="shared" si="40"/>
        <v>-1.2847214043273113E-2</v>
      </c>
      <c r="D2031" s="31">
        <v>4397.9399999999996</v>
      </c>
      <c r="E2031" s="28">
        <f t="shared" si="40"/>
        <v>-1.9095986358635349E-2</v>
      </c>
    </row>
    <row r="2032" spans="1:5">
      <c r="A2032" s="30">
        <v>44585</v>
      </c>
      <c r="B2032" s="28">
        <v>159.590576</v>
      </c>
      <c r="C2032" s="28">
        <f t="shared" si="40"/>
        <v>-4.8762625241038568E-3</v>
      </c>
      <c r="D2032" s="31">
        <v>4410.13</v>
      </c>
      <c r="E2032" s="28">
        <f t="shared" si="40"/>
        <v>2.7679180076168289E-3</v>
      </c>
    </row>
    <row r="2033" spans="1:5">
      <c r="A2033" s="30">
        <v>44586</v>
      </c>
      <c r="B2033" s="28">
        <v>157.773697</v>
      </c>
      <c r="C2033" s="28">
        <f t="shared" si="40"/>
        <v>-1.1449926813182743E-2</v>
      </c>
      <c r="D2033" s="31">
        <v>4356.45</v>
      </c>
      <c r="E2033" s="28">
        <f t="shared" si="40"/>
        <v>-1.2246661962160472E-2</v>
      </c>
    </row>
    <row r="2034" spans="1:5">
      <c r="A2034" s="30">
        <v>44587</v>
      </c>
      <c r="B2034" s="28">
        <v>157.68483000000001</v>
      </c>
      <c r="C2034" s="28">
        <f t="shared" si="40"/>
        <v>-5.634148057174044E-4</v>
      </c>
      <c r="D2034" s="31">
        <v>4349.93</v>
      </c>
      <c r="E2034" s="28">
        <f t="shared" si="40"/>
        <v>-1.4977525030699156E-3</v>
      </c>
    </row>
    <row r="2035" spans="1:5">
      <c r="A2035" s="30">
        <v>44588</v>
      </c>
      <c r="B2035" s="28">
        <v>157.22071800000001</v>
      </c>
      <c r="C2035" s="28">
        <f t="shared" si="40"/>
        <v>-2.9476288301976106E-3</v>
      </c>
      <c r="D2035" s="31">
        <v>4326.51</v>
      </c>
      <c r="E2035" s="28">
        <f t="shared" si="40"/>
        <v>-5.3985406179990411E-3</v>
      </c>
    </row>
    <row r="2036" spans="1:5">
      <c r="A2036" s="30">
        <v>44589</v>
      </c>
      <c r="B2036" s="28">
        <v>168.191238</v>
      </c>
      <c r="C2036" s="28">
        <f t="shared" si="40"/>
        <v>6.7450988231059453E-2</v>
      </c>
      <c r="D2036" s="31">
        <v>4431.8500000000004</v>
      </c>
      <c r="E2036" s="28">
        <f t="shared" si="40"/>
        <v>2.4055891707799003E-2</v>
      </c>
    </row>
    <row r="2037" spans="1:5">
      <c r="A2037" s="30">
        <v>44592</v>
      </c>
      <c r="B2037" s="28">
        <v>172.58532700000001</v>
      </c>
      <c r="C2037" s="28">
        <f t="shared" si="40"/>
        <v>2.5790110012908918E-2</v>
      </c>
      <c r="D2037" s="31">
        <v>4515.55</v>
      </c>
      <c r="E2037" s="28">
        <f t="shared" si="40"/>
        <v>1.8709891511396817E-2</v>
      </c>
    </row>
    <row r="2038" spans="1:5">
      <c r="A2038" s="30">
        <v>44593</v>
      </c>
      <c r="B2038" s="28">
        <v>172.41746499999999</v>
      </c>
      <c r="C2038" s="28">
        <f t="shared" si="40"/>
        <v>-9.7310524516681398E-4</v>
      </c>
      <c r="D2038" s="31">
        <v>4546.54</v>
      </c>
      <c r="E2038" s="28">
        <f t="shared" si="40"/>
        <v>6.8395085033043351E-3</v>
      </c>
    </row>
    <row r="2039" spans="1:5">
      <c r="A2039" s="30">
        <v>44594</v>
      </c>
      <c r="B2039" s="28">
        <v>173.63201900000001</v>
      </c>
      <c r="C2039" s="28">
        <f t="shared" si="40"/>
        <v>7.0195682603088998E-3</v>
      </c>
      <c r="D2039" s="31">
        <v>4589.38</v>
      </c>
      <c r="E2039" s="28">
        <f t="shared" si="40"/>
        <v>9.3784345745179347E-3</v>
      </c>
    </row>
    <row r="2040" spans="1:5">
      <c r="A2040" s="30">
        <v>44595</v>
      </c>
      <c r="B2040" s="28">
        <v>170.72894299999999</v>
      </c>
      <c r="C2040" s="28">
        <f t="shared" si="40"/>
        <v>-1.6861056261227542E-2</v>
      </c>
      <c r="D2040" s="31">
        <v>4477.4399999999996</v>
      </c>
      <c r="E2040" s="28">
        <f t="shared" si="40"/>
        <v>-2.4693484168175839E-2</v>
      </c>
    </row>
    <row r="2041" spans="1:5">
      <c r="A2041" s="30">
        <v>44596</v>
      </c>
      <c r="B2041" s="28">
        <v>170.44223</v>
      </c>
      <c r="C2041" s="28">
        <f t="shared" si="40"/>
        <v>-1.6807578727979797E-3</v>
      </c>
      <c r="D2041" s="31">
        <v>4500.53</v>
      </c>
      <c r="E2041" s="28">
        <f t="shared" si="40"/>
        <v>5.1437130908578545E-3</v>
      </c>
    </row>
    <row r="2042" spans="1:5">
      <c r="A2042" s="30">
        <v>44599</v>
      </c>
      <c r="B2042" s="28">
        <v>169.720474</v>
      </c>
      <c r="C2042" s="28">
        <f t="shared" si="40"/>
        <v>-4.2435991637865891E-3</v>
      </c>
      <c r="D2042" s="31">
        <v>4483.87</v>
      </c>
      <c r="E2042" s="28">
        <f t="shared" si="40"/>
        <v>-3.7086548006097621E-3</v>
      </c>
    </row>
    <row r="2043" spans="1:5">
      <c r="A2043" s="30">
        <v>44600</v>
      </c>
      <c r="B2043" s="28">
        <v>172.85467499999999</v>
      </c>
      <c r="C2043" s="28">
        <f t="shared" si="40"/>
        <v>1.8298399408571735E-2</v>
      </c>
      <c r="D2043" s="31">
        <v>4521.54</v>
      </c>
      <c r="E2043" s="28">
        <f t="shared" si="40"/>
        <v>8.3661309627788387E-3</v>
      </c>
    </row>
    <row r="2044" spans="1:5">
      <c r="A2044" s="30">
        <v>44601</v>
      </c>
      <c r="B2044" s="28">
        <v>174.28829999999999</v>
      </c>
      <c r="C2044" s="28">
        <f t="shared" si="40"/>
        <v>8.2596120534554462E-3</v>
      </c>
      <c r="D2044" s="31">
        <v>4587.18</v>
      </c>
      <c r="E2044" s="28">
        <f t="shared" si="40"/>
        <v>1.4412812398356309E-2</v>
      </c>
    </row>
    <row r="2045" spans="1:5">
      <c r="A2045" s="30">
        <v>44602</v>
      </c>
      <c r="B2045" s="28">
        <v>170.17527799999999</v>
      </c>
      <c r="C2045" s="28">
        <f t="shared" si="40"/>
        <v>-2.3881871682370871E-2</v>
      </c>
      <c r="D2045" s="31">
        <v>4504.08</v>
      </c>
      <c r="E2045" s="28">
        <f t="shared" si="40"/>
        <v>-1.8281803510329601E-2</v>
      </c>
    </row>
    <row r="2046" spans="1:5">
      <c r="A2046" s="30">
        <v>44603</v>
      </c>
      <c r="B2046" s="28">
        <v>166.73460399999999</v>
      </c>
      <c r="C2046" s="28">
        <f t="shared" si="40"/>
        <v>-2.0425602247149559E-2</v>
      </c>
      <c r="D2046" s="31">
        <v>4418.6400000000003</v>
      </c>
      <c r="E2046" s="28">
        <f t="shared" si="40"/>
        <v>-1.9151696234065794E-2</v>
      </c>
    </row>
    <row r="2047" spans="1:5">
      <c r="A2047" s="30">
        <v>44606</v>
      </c>
      <c r="B2047" s="28">
        <v>166.97189299999999</v>
      </c>
      <c r="C2047" s="28">
        <f t="shared" si="40"/>
        <v>1.4221421646030609E-3</v>
      </c>
      <c r="D2047" s="31">
        <v>4401.67</v>
      </c>
      <c r="E2047" s="28">
        <f t="shared" si="40"/>
        <v>-3.8479420653191741E-3</v>
      </c>
    </row>
    <row r="2048" spans="1:5">
      <c r="A2048" s="30">
        <v>44607</v>
      </c>
      <c r="B2048" s="28">
        <v>170.837692</v>
      </c>
      <c r="C2048" s="28">
        <f t="shared" si="40"/>
        <v>2.2888443302722598E-2</v>
      </c>
      <c r="D2048" s="31">
        <v>4471.07</v>
      </c>
      <c r="E2048" s="28">
        <f t="shared" si="40"/>
        <v>1.5643739212372925E-2</v>
      </c>
    </row>
    <row r="2049" spans="1:5">
      <c r="A2049" s="30">
        <v>44608</v>
      </c>
      <c r="B2049" s="28">
        <v>170.60041799999999</v>
      </c>
      <c r="C2049" s="28">
        <f t="shared" si="40"/>
        <v>-1.3898509348877382E-3</v>
      </c>
      <c r="D2049" s="31">
        <v>4475.01</v>
      </c>
      <c r="E2049" s="28">
        <f t="shared" si="40"/>
        <v>8.8083277921570239E-4</v>
      </c>
    </row>
    <row r="2050" spans="1:5">
      <c r="A2050" s="30">
        <v>44609</v>
      </c>
      <c r="B2050" s="28">
        <v>166.97189299999999</v>
      </c>
      <c r="C2050" s="28">
        <f t="shared" si="40"/>
        <v>-2.1498592367834819E-2</v>
      </c>
      <c r="D2050" s="31">
        <v>4380.26</v>
      </c>
      <c r="E2050" s="28">
        <f t="shared" si="40"/>
        <v>-2.1400503004023481E-2</v>
      </c>
    </row>
    <row r="2051" spans="1:5">
      <c r="A2051" s="30">
        <v>44610</v>
      </c>
      <c r="B2051" s="28">
        <v>165.409729</v>
      </c>
      <c r="C2051" s="28">
        <f t="shared" si="40"/>
        <v>-9.3998909629875033E-3</v>
      </c>
      <c r="D2051" s="31">
        <v>4348.87</v>
      </c>
      <c r="E2051" s="28">
        <f t="shared" si="40"/>
        <v>-7.192042117620436E-3</v>
      </c>
    </row>
    <row r="2052" spans="1:5">
      <c r="A2052" s="30">
        <v>44614</v>
      </c>
      <c r="B2052" s="28">
        <v>162.46343999999999</v>
      </c>
      <c r="C2052" s="28">
        <f t="shared" si="40"/>
        <v>-1.7972610058032426E-2</v>
      </c>
      <c r="D2052" s="31">
        <v>4304.76</v>
      </c>
      <c r="E2052" s="28">
        <f t="shared" si="40"/>
        <v>-1.0194654042815754E-2</v>
      </c>
    </row>
    <row r="2053" spans="1:5">
      <c r="A2053" s="30">
        <v>44615</v>
      </c>
      <c r="B2053" s="28">
        <v>158.26144400000001</v>
      </c>
      <c r="C2053" s="28">
        <f t="shared" ref="C2053:E2116" si="41">LN(B2053/B2052)</f>
        <v>-2.620461747619306E-2</v>
      </c>
      <c r="D2053" s="31">
        <v>4225.5</v>
      </c>
      <c r="E2053" s="28">
        <f t="shared" si="41"/>
        <v>-1.858379019433392E-2</v>
      </c>
    </row>
    <row r="2054" spans="1:5">
      <c r="A2054" s="30">
        <v>44616</v>
      </c>
      <c r="B2054" s="28">
        <v>160.90126000000001</v>
      </c>
      <c r="C2054" s="28">
        <f t="shared" si="41"/>
        <v>1.6542510553197835E-2</v>
      </c>
      <c r="D2054" s="31">
        <v>4288.7</v>
      </c>
      <c r="E2054" s="28">
        <f t="shared" si="41"/>
        <v>1.4846059711535551E-2</v>
      </c>
    </row>
    <row r="2055" spans="1:5">
      <c r="A2055" s="30">
        <v>44617</v>
      </c>
      <c r="B2055" s="28">
        <v>162.987427</v>
      </c>
      <c r="C2055" s="28">
        <f t="shared" si="41"/>
        <v>1.2882177943805306E-2</v>
      </c>
      <c r="D2055" s="31">
        <v>4384.6499999999996</v>
      </c>
      <c r="E2055" s="28">
        <f t="shared" si="41"/>
        <v>2.2126148364756827E-2</v>
      </c>
    </row>
    <row r="2056" spans="1:5">
      <c r="A2056" s="30">
        <v>44620</v>
      </c>
      <c r="B2056" s="28">
        <v>163.254379</v>
      </c>
      <c r="C2056" s="28">
        <f t="shared" si="41"/>
        <v>1.636528824143632E-3</v>
      </c>
      <c r="D2056" s="31">
        <v>4373.9399999999996</v>
      </c>
      <c r="E2056" s="28">
        <f t="shared" si="41"/>
        <v>-2.445600339325641E-3</v>
      </c>
    </row>
    <row r="2057" spans="1:5">
      <c r="A2057" s="30">
        <v>44621</v>
      </c>
      <c r="B2057" s="28">
        <v>161.356064</v>
      </c>
      <c r="C2057" s="28">
        <f t="shared" si="41"/>
        <v>-1.1696091000445304E-2</v>
      </c>
      <c r="D2057" s="31">
        <v>4306.26</v>
      </c>
      <c r="E2057" s="28">
        <f t="shared" si="41"/>
        <v>-1.5594426756135317E-2</v>
      </c>
    </row>
    <row r="2058" spans="1:5">
      <c r="A2058" s="30">
        <v>44622</v>
      </c>
      <c r="B2058" s="28">
        <v>164.67811599999999</v>
      </c>
      <c r="C2058" s="28">
        <f t="shared" si="41"/>
        <v>2.0379255780980886E-2</v>
      </c>
      <c r="D2058" s="31">
        <v>4386.54</v>
      </c>
      <c r="E2058" s="28">
        <f t="shared" si="41"/>
        <v>1.8470983448989332E-2</v>
      </c>
    </row>
    <row r="2059" spans="1:5">
      <c r="A2059" s="30">
        <v>44623</v>
      </c>
      <c r="B2059" s="28">
        <v>164.35185200000001</v>
      </c>
      <c r="C2059" s="28">
        <f t="shared" si="41"/>
        <v>-1.9831877863108307E-3</v>
      </c>
      <c r="D2059" s="31">
        <v>4363.49</v>
      </c>
      <c r="E2059" s="28">
        <f t="shared" si="41"/>
        <v>-5.2685655519010824E-3</v>
      </c>
    </row>
    <row r="2060" spans="1:5">
      <c r="A2060" s="30">
        <v>44624</v>
      </c>
      <c r="B2060" s="28">
        <v>161.326401</v>
      </c>
      <c r="C2060" s="28">
        <f t="shared" si="41"/>
        <v>-1.8579920563687336E-2</v>
      </c>
      <c r="D2060" s="31">
        <v>4328.87</v>
      </c>
      <c r="E2060" s="28">
        <f t="shared" si="41"/>
        <v>-7.9656579014163158E-3</v>
      </c>
    </row>
    <row r="2061" spans="1:5">
      <c r="A2061" s="30">
        <v>44627</v>
      </c>
      <c r="B2061" s="28">
        <v>157.500137</v>
      </c>
      <c r="C2061" s="28">
        <f t="shared" si="41"/>
        <v>-2.4003320010484004E-2</v>
      </c>
      <c r="D2061" s="31">
        <v>4201.09</v>
      </c>
      <c r="E2061" s="28">
        <f t="shared" si="41"/>
        <v>-2.9962522550535008E-2</v>
      </c>
    </row>
    <row r="2062" spans="1:5">
      <c r="A2062" s="30">
        <v>44628</v>
      </c>
      <c r="B2062" s="28">
        <v>155.66116299999999</v>
      </c>
      <c r="C2062" s="28">
        <f t="shared" si="41"/>
        <v>-1.1744715191196162E-2</v>
      </c>
      <c r="D2062" s="31">
        <v>4170.7</v>
      </c>
      <c r="E2062" s="28">
        <f t="shared" si="41"/>
        <v>-7.2601279980952522E-3</v>
      </c>
    </row>
    <row r="2063" spans="1:5">
      <c r="A2063" s="30">
        <v>44629</v>
      </c>
      <c r="B2063" s="28">
        <v>161.10888700000001</v>
      </c>
      <c r="C2063" s="28">
        <f t="shared" si="41"/>
        <v>3.4398840240143912E-2</v>
      </c>
      <c r="D2063" s="31">
        <v>4277.88</v>
      </c>
      <c r="E2063" s="28">
        <f t="shared" si="41"/>
        <v>2.5373672345635229E-2</v>
      </c>
    </row>
    <row r="2064" spans="1:5">
      <c r="A2064" s="30">
        <v>44630</v>
      </c>
      <c r="B2064" s="28">
        <v>156.72894299999999</v>
      </c>
      <c r="C2064" s="28">
        <f t="shared" si="41"/>
        <v>-2.7562617594471338E-2</v>
      </c>
      <c r="D2064" s="31">
        <v>4259.5200000000004</v>
      </c>
      <c r="E2064" s="28">
        <f t="shared" si="41"/>
        <v>-4.3010818993905854E-3</v>
      </c>
    </row>
    <row r="2065" spans="1:5">
      <c r="A2065" s="30">
        <v>44631</v>
      </c>
      <c r="B2065" s="28">
        <v>152.98176599999999</v>
      </c>
      <c r="C2065" s="28">
        <f t="shared" si="41"/>
        <v>-2.4199097741288374E-2</v>
      </c>
      <c r="D2065" s="31">
        <v>4204.3100000000004</v>
      </c>
      <c r="E2065" s="28">
        <f t="shared" si="41"/>
        <v>-1.3046288284512193E-2</v>
      </c>
    </row>
    <row r="2066" spans="1:5">
      <c r="A2066" s="30">
        <v>44634</v>
      </c>
      <c r="B2066" s="28">
        <v>148.91819799999999</v>
      </c>
      <c r="C2066" s="28">
        <f t="shared" si="41"/>
        <v>-2.6921589345083333E-2</v>
      </c>
      <c r="D2066" s="31">
        <v>4173.1099999999997</v>
      </c>
      <c r="E2066" s="28">
        <f t="shared" si="41"/>
        <v>-7.4486283971046856E-3</v>
      </c>
    </row>
    <row r="2067" spans="1:5">
      <c r="A2067" s="30">
        <v>44635</v>
      </c>
      <c r="B2067" s="28">
        <v>153.33766199999999</v>
      </c>
      <c r="C2067" s="28">
        <f t="shared" si="41"/>
        <v>2.9245282376658362E-2</v>
      </c>
      <c r="D2067" s="31">
        <v>4262.45</v>
      </c>
      <c r="E2067" s="28">
        <f t="shared" si="41"/>
        <v>2.1182551140656723E-2</v>
      </c>
    </row>
    <row r="2068" spans="1:5">
      <c r="A2068" s="30">
        <v>44636</v>
      </c>
      <c r="B2068" s="28">
        <v>157.78684999999999</v>
      </c>
      <c r="C2068" s="28">
        <f t="shared" si="41"/>
        <v>2.8602640754683006E-2</v>
      </c>
      <c r="D2068" s="31">
        <v>4357.8599999999997</v>
      </c>
      <c r="E2068" s="28">
        <f t="shared" si="41"/>
        <v>2.2136998842954763E-2</v>
      </c>
    </row>
    <row r="2069" spans="1:5">
      <c r="A2069" s="30">
        <v>44637</v>
      </c>
      <c r="B2069" s="28">
        <v>158.805206</v>
      </c>
      <c r="C2069" s="28">
        <f t="shared" si="41"/>
        <v>6.4332600449618447E-3</v>
      </c>
      <c r="D2069" s="31">
        <v>4411.67</v>
      </c>
      <c r="E2069" s="28">
        <f t="shared" si="41"/>
        <v>1.2272191404503483E-2</v>
      </c>
    </row>
    <row r="2070" spans="1:5">
      <c r="A2070" s="30">
        <v>44638</v>
      </c>
      <c r="B2070" s="28">
        <v>162.12725800000001</v>
      </c>
      <c r="C2070" s="28">
        <f t="shared" si="41"/>
        <v>2.0703238413691753E-2</v>
      </c>
      <c r="D2070" s="31">
        <v>4463.12</v>
      </c>
      <c r="E2070" s="28">
        <f t="shared" si="41"/>
        <v>1.1594770446318643E-2</v>
      </c>
    </row>
    <row r="2071" spans="1:5">
      <c r="A2071" s="30">
        <v>44641</v>
      </c>
      <c r="B2071" s="28">
        <v>163.51142899999999</v>
      </c>
      <c r="C2071" s="28">
        <f t="shared" si="41"/>
        <v>8.5013199702612292E-3</v>
      </c>
      <c r="D2071" s="31">
        <v>4461.18</v>
      </c>
      <c r="E2071" s="28">
        <f t="shared" si="41"/>
        <v>-4.3476799985616853E-4</v>
      </c>
    </row>
    <row r="2072" spans="1:5">
      <c r="A2072" s="30">
        <v>44642</v>
      </c>
      <c r="B2072" s="28">
        <v>166.91258199999999</v>
      </c>
      <c r="C2072" s="28">
        <f t="shared" si="41"/>
        <v>2.0587324250390403E-2</v>
      </c>
      <c r="D2072" s="31">
        <v>4511.6099999999997</v>
      </c>
      <c r="E2072" s="28">
        <f t="shared" si="41"/>
        <v>1.1240769260246017E-2</v>
      </c>
    </row>
    <row r="2073" spans="1:5">
      <c r="A2073" s="30">
        <v>44643</v>
      </c>
      <c r="B2073" s="28">
        <v>168.28688</v>
      </c>
      <c r="C2073" s="28">
        <f t="shared" si="41"/>
        <v>8.1999278418033537E-3</v>
      </c>
      <c r="D2073" s="31">
        <v>4456.24</v>
      </c>
      <c r="E2073" s="28">
        <f t="shared" si="41"/>
        <v>-1.2348713151043481E-2</v>
      </c>
    </row>
    <row r="2074" spans="1:5">
      <c r="A2074" s="30">
        <v>44644</v>
      </c>
      <c r="B2074" s="28">
        <v>172.10325599999999</v>
      </c>
      <c r="C2074" s="28">
        <f t="shared" si="41"/>
        <v>2.2424480144397543E-2</v>
      </c>
      <c r="D2074" s="31">
        <v>4520.16</v>
      </c>
      <c r="E2074" s="28">
        <f t="shared" si="41"/>
        <v>1.4242030309045384E-2</v>
      </c>
    </row>
    <row r="2075" spans="1:5">
      <c r="A2075" s="30">
        <v>44645</v>
      </c>
      <c r="B2075" s="28">
        <v>172.74591100000001</v>
      </c>
      <c r="C2075" s="28">
        <f t="shared" si="41"/>
        <v>3.7271700526926828E-3</v>
      </c>
      <c r="D2075" s="31">
        <v>4543.0600000000004</v>
      </c>
      <c r="E2075" s="28">
        <f t="shared" si="41"/>
        <v>5.0534023741785035E-3</v>
      </c>
    </row>
    <row r="2076" spans="1:5">
      <c r="A2076" s="30">
        <v>44648</v>
      </c>
      <c r="B2076" s="28">
        <v>173.61596700000001</v>
      </c>
      <c r="C2076" s="28">
        <f t="shared" si="41"/>
        <v>5.0239814789623041E-3</v>
      </c>
      <c r="D2076" s="31">
        <v>4575.5200000000004</v>
      </c>
      <c r="E2076" s="28">
        <f t="shared" si="41"/>
        <v>7.1195596488213336E-3</v>
      </c>
    </row>
    <row r="2077" spans="1:5">
      <c r="A2077" s="30">
        <v>44649</v>
      </c>
      <c r="B2077" s="28">
        <v>176.93800400000001</v>
      </c>
      <c r="C2077" s="28">
        <f t="shared" si="41"/>
        <v>1.8953637528315692E-2</v>
      </c>
      <c r="D2077" s="31">
        <v>4631.6000000000004</v>
      </c>
      <c r="E2077" s="28">
        <f t="shared" si="41"/>
        <v>1.2182027285255538E-2</v>
      </c>
    </row>
    <row r="2078" spans="1:5">
      <c r="A2078" s="30">
        <v>44650</v>
      </c>
      <c r="B2078" s="28">
        <v>175.76147499999999</v>
      </c>
      <c r="C2078" s="28">
        <f t="shared" si="41"/>
        <v>-6.6715911647351224E-3</v>
      </c>
      <c r="D2078" s="31">
        <v>4602.45</v>
      </c>
      <c r="E2078" s="28">
        <f t="shared" si="41"/>
        <v>-6.313610350948985E-3</v>
      </c>
    </row>
    <row r="2079" spans="1:5">
      <c r="A2079" s="30">
        <v>44651</v>
      </c>
      <c r="B2079" s="28">
        <v>172.637146</v>
      </c>
      <c r="C2079" s="28">
        <f t="shared" si="41"/>
        <v>-1.7935850304247273E-2</v>
      </c>
      <c r="D2079" s="31">
        <v>4530.41</v>
      </c>
      <c r="E2079" s="28">
        <f t="shared" si="41"/>
        <v>-1.577632727939729E-2</v>
      </c>
    </row>
    <row r="2080" spans="1:5">
      <c r="A2080" s="30">
        <v>44652</v>
      </c>
      <c r="B2080" s="28">
        <v>172.34053</v>
      </c>
      <c r="C2080" s="28">
        <f t="shared" si="41"/>
        <v>-1.7196247393922123E-3</v>
      </c>
      <c r="D2080" s="31">
        <v>4545.8599999999997</v>
      </c>
      <c r="E2080" s="28">
        <f t="shared" si="41"/>
        <v>3.4044855260572872E-3</v>
      </c>
    </row>
    <row r="2081" spans="1:5">
      <c r="A2081" s="30">
        <v>44655</v>
      </c>
      <c r="B2081" s="28">
        <v>176.42385899999999</v>
      </c>
      <c r="C2081" s="28">
        <f t="shared" si="41"/>
        <v>2.3417044405457822E-2</v>
      </c>
      <c r="D2081" s="31">
        <v>4582.6400000000003</v>
      </c>
      <c r="E2081" s="28">
        <f t="shared" si="41"/>
        <v>8.0583226226329796E-3</v>
      </c>
    </row>
    <row r="2082" spans="1:5">
      <c r="A2082" s="30">
        <v>44656</v>
      </c>
      <c r="B2082" s="28">
        <v>173.08206200000001</v>
      </c>
      <c r="C2082" s="28">
        <f t="shared" si="41"/>
        <v>-1.9123560676885865E-2</v>
      </c>
      <c r="D2082" s="31">
        <v>4525.12</v>
      </c>
      <c r="E2082" s="28">
        <f t="shared" si="41"/>
        <v>-1.2631155137050305E-2</v>
      </c>
    </row>
    <row r="2083" spans="1:5">
      <c r="A2083" s="30">
        <v>44657</v>
      </c>
      <c r="B2083" s="28">
        <v>169.888565</v>
      </c>
      <c r="C2083" s="28">
        <f t="shared" si="41"/>
        <v>-1.8623106735493739E-2</v>
      </c>
      <c r="D2083" s="31">
        <v>4481.1499999999996</v>
      </c>
      <c r="E2083" s="28">
        <f t="shared" si="41"/>
        <v>-9.7643862227005471E-3</v>
      </c>
    </row>
    <row r="2084" spans="1:5">
      <c r="A2084" s="30">
        <v>44658</v>
      </c>
      <c r="B2084" s="28">
        <v>170.19503800000001</v>
      </c>
      <c r="C2084" s="28">
        <f t="shared" si="41"/>
        <v>1.8023396615389113E-3</v>
      </c>
      <c r="D2084" s="31">
        <v>4500.21</v>
      </c>
      <c r="E2084" s="28">
        <f t="shared" si="41"/>
        <v>4.2443524395117957E-3</v>
      </c>
    </row>
    <row r="2085" spans="1:5">
      <c r="A2085" s="30">
        <v>44659</v>
      </c>
      <c r="B2085" s="28">
        <v>168.168228</v>
      </c>
      <c r="C2085" s="28">
        <f t="shared" si="41"/>
        <v>-1.1980226255250902E-2</v>
      </c>
      <c r="D2085" s="31">
        <v>4488.28</v>
      </c>
      <c r="E2085" s="28">
        <f t="shared" si="41"/>
        <v>-2.6545074879774648E-3</v>
      </c>
    </row>
    <row r="2086" spans="1:5">
      <c r="A2086" s="30">
        <v>44662</v>
      </c>
      <c r="B2086" s="28">
        <v>163.877274</v>
      </c>
      <c r="C2086" s="28">
        <f t="shared" si="41"/>
        <v>-2.5847017104700335E-2</v>
      </c>
      <c r="D2086" s="31">
        <v>4412.53</v>
      </c>
      <c r="E2086" s="28">
        <f t="shared" si="41"/>
        <v>-1.7021333762949849E-2</v>
      </c>
    </row>
    <row r="2087" spans="1:5">
      <c r="A2087" s="30">
        <v>44663</v>
      </c>
      <c r="B2087" s="28">
        <v>165.76568599999999</v>
      </c>
      <c r="C2087" s="28">
        <f t="shared" si="41"/>
        <v>1.1457442671181673E-2</v>
      </c>
      <c r="D2087" s="31">
        <v>4397.45</v>
      </c>
      <c r="E2087" s="28">
        <f t="shared" si="41"/>
        <v>-3.4233936348681705E-3</v>
      </c>
    </row>
    <row r="2088" spans="1:5">
      <c r="A2088" s="30">
        <v>44664</v>
      </c>
      <c r="B2088" s="28">
        <v>168.47470100000001</v>
      </c>
      <c r="C2088" s="28">
        <f t="shared" si="41"/>
        <v>1.6210334997703777E-2</v>
      </c>
      <c r="D2088" s="31">
        <v>4446.59</v>
      </c>
      <c r="E2088" s="28">
        <f t="shared" si="41"/>
        <v>1.1112682823133003E-2</v>
      </c>
    </row>
    <row r="2089" spans="1:5">
      <c r="A2089" s="30">
        <v>44665</v>
      </c>
      <c r="B2089" s="28">
        <v>163.42243999999999</v>
      </c>
      <c r="C2089" s="28">
        <f t="shared" si="41"/>
        <v>-3.0447091388564582E-2</v>
      </c>
      <c r="D2089" s="31">
        <v>4392.59</v>
      </c>
      <c r="E2089" s="28">
        <f t="shared" si="41"/>
        <v>-1.2218479951525796E-2</v>
      </c>
    </row>
    <row r="2090" spans="1:5">
      <c r="A2090" s="30">
        <v>44669</v>
      </c>
      <c r="B2090" s="28">
        <v>163.20494099999999</v>
      </c>
      <c r="C2090" s="28">
        <f t="shared" si="41"/>
        <v>-1.3317868911141941E-3</v>
      </c>
      <c r="D2090" s="31">
        <v>4391.6899999999996</v>
      </c>
      <c r="E2090" s="28">
        <f t="shared" si="41"/>
        <v>-2.0491150171664794E-4</v>
      </c>
    </row>
    <row r="2091" spans="1:5">
      <c r="A2091" s="30">
        <v>44670</v>
      </c>
      <c r="B2091" s="28">
        <v>165.508591</v>
      </c>
      <c r="C2091" s="28">
        <f t="shared" si="41"/>
        <v>1.4016385028432013E-2</v>
      </c>
      <c r="D2091" s="31">
        <v>4462.21</v>
      </c>
      <c r="E2091" s="28">
        <f t="shared" si="41"/>
        <v>1.5930040161497565E-2</v>
      </c>
    </row>
    <row r="2092" spans="1:5">
      <c r="A2092" s="30">
        <v>44671</v>
      </c>
      <c r="B2092" s="28">
        <v>165.34051500000001</v>
      </c>
      <c r="C2092" s="28">
        <f t="shared" si="41"/>
        <v>-1.0160282219949812E-3</v>
      </c>
      <c r="D2092" s="31">
        <v>4459.45</v>
      </c>
      <c r="E2092" s="28">
        <f t="shared" si="41"/>
        <v>-6.1871895769334236E-4</v>
      </c>
    </row>
    <row r="2093" spans="1:5">
      <c r="A2093" s="30">
        <v>44672</v>
      </c>
      <c r="B2093" s="28">
        <v>164.539658</v>
      </c>
      <c r="C2093" s="28">
        <f t="shared" si="41"/>
        <v>-4.8554513967527854E-3</v>
      </c>
      <c r="D2093" s="31">
        <v>4393.66</v>
      </c>
      <c r="E2093" s="28">
        <f t="shared" si="41"/>
        <v>-1.4862847316476122E-2</v>
      </c>
    </row>
    <row r="2094" spans="1:5">
      <c r="A2094" s="30">
        <v>44673</v>
      </c>
      <c r="B2094" s="28">
        <v>159.961975</v>
      </c>
      <c r="C2094" s="28">
        <f t="shared" si="41"/>
        <v>-2.8215492477578971E-2</v>
      </c>
      <c r="D2094" s="31">
        <v>4271.78</v>
      </c>
      <c r="E2094" s="28">
        <f t="shared" si="41"/>
        <v>-2.813199052103028E-2</v>
      </c>
    </row>
    <row r="2095" spans="1:5">
      <c r="A2095" s="30">
        <v>44676</v>
      </c>
      <c r="B2095" s="28">
        <v>161.03967299999999</v>
      </c>
      <c r="C2095" s="28">
        <f t="shared" si="41"/>
        <v>6.7146200389534795E-3</v>
      </c>
      <c r="D2095" s="31">
        <v>4296.12</v>
      </c>
      <c r="E2095" s="28">
        <f t="shared" si="41"/>
        <v>5.6816875728607956E-3</v>
      </c>
    </row>
    <row r="2096" spans="1:5">
      <c r="A2096" s="30">
        <v>44677</v>
      </c>
      <c r="B2096" s="28">
        <v>155.02836600000001</v>
      </c>
      <c r="C2096" s="28">
        <f t="shared" si="41"/>
        <v>-3.8042644150836961E-2</v>
      </c>
      <c r="D2096" s="31">
        <v>4175.2</v>
      </c>
      <c r="E2096" s="28">
        <f t="shared" si="41"/>
        <v>-2.8550028430273121E-2</v>
      </c>
    </row>
    <row r="2097" spans="1:5">
      <c r="A2097" s="30">
        <v>44678</v>
      </c>
      <c r="B2097" s="28">
        <v>154.800995</v>
      </c>
      <c r="C2097" s="28">
        <f t="shared" si="41"/>
        <v>-1.467717843673367E-3</v>
      </c>
      <c r="D2097" s="31">
        <v>4183.96</v>
      </c>
      <c r="E2097" s="28">
        <f t="shared" si="41"/>
        <v>2.0959051404105173E-3</v>
      </c>
    </row>
    <row r="2098" spans="1:5">
      <c r="A2098" s="30">
        <v>44679</v>
      </c>
      <c r="B2098" s="28">
        <v>161.79109199999999</v>
      </c>
      <c r="C2098" s="28">
        <f t="shared" si="41"/>
        <v>4.4165558700998982E-2</v>
      </c>
      <c r="D2098" s="31">
        <v>4287.5</v>
      </c>
      <c r="E2098" s="28">
        <f t="shared" si="41"/>
        <v>2.444564600458133E-2</v>
      </c>
    </row>
    <row r="2099" spans="1:5">
      <c r="A2099" s="30">
        <v>44680</v>
      </c>
      <c r="B2099" s="28">
        <v>155.868774</v>
      </c>
      <c r="C2099" s="28">
        <f t="shared" si="41"/>
        <v>-3.7291486543487608E-2</v>
      </c>
      <c r="D2099" s="31">
        <v>4131.93</v>
      </c>
      <c r="E2099" s="28">
        <f t="shared" si="41"/>
        <v>-3.6959202326858717E-2</v>
      </c>
    </row>
    <row r="2100" spans="1:5">
      <c r="A2100" s="30">
        <v>44683</v>
      </c>
      <c r="B2100" s="28">
        <v>156.17529300000001</v>
      </c>
      <c r="C2100" s="28">
        <f t="shared" si="41"/>
        <v>1.9645885373423171E-3</v>
      </c>
      <c r="D2100" s="31">
        <v>4155.38</v>
      </c>
      <c r="E2100" s="28">
        <f t="shared" si="41"/>
        <v>5.6592700373755203E-3</v>
      </c>
    </row>
    <row r="2101" spans="1:5">
      <c r="A2101" s="30">
        <v>44684</v>
      </c>
      <c r="B2101" s="28">
        <v>157.67808500000001</v>
      </c>
      <c r="C2101" s="28">
        <f t="shared" si="41"/>
        <v>9.576468441983706E-3</v>
      </c>
      <c r="D2101" s="31">
        <v>4175.4799999999996</v>
      </c>
      <c r="E2101" s="28">
        <f t="shared" si="41"/>
        <v>4.8254415515728731E-3</v>
      </c>
    </row>
    <row r="2102" spans="1:5">
      <c r="A2102" s="30">
        <v>44685</v>
      </c>
      <c r="B2102" s="28">
        <v>164.14419599999999</v>
      </c>
      <c r="C2102" s="28">
        <f t="shared" si="41"/>
        <v>4.0189767497754769E-2</v>
      </c>
      <c r="D2102" s="31">
        <v>4300.17</v>
      </c>
      <c r="E2102" s="28">
        <f t="shared" si="41"/>
        <v>2.9425235047606604E-2</v>
      </c>
    </row>
    <row r="2103" spans="1:5">
      <c r="A2103" s="30">
        <v>44686</v>
      </c>
      <c r="B2103" s="28">
        <v>154.998718</v>
      </c>
      <c r="C2103" s="28">
        <f t="shared" si="41"/>
        <v>-5.7328439500840433E-2</v>
      </c>
      <c r="D2103" s="31">
        <v>4146.87</v>
      </c>
      <c r="E2103" s="28">
        <f t="shared" si="41"/>
        <v>-3.6300723991250602E-2</v>
      </c>
    </row>
    <row r="2104" spans="1:5">
      <c r="A2104" s="30">
        <v>44687</v>
      </c>
      <c r="B2104" s="28">
        <v>155.73142999999999</v>
      </c>
      <c r="C2104" s="28">
        <f t="shared" si="41"/>
        <v>4.7160751073459933E-3</v>
      </c>
      <c r="D2104" s="31">
        <v>4123.34</v>
      </c>
      <c r="E2104" s="28">
        <f t="shared" si="41"/>
        <v>-5.6903182606495763E-3</v>
      </c>
    </row>
    <row r="2105" spans="1:5">
      <c r="A2105" s="30">
        <v>44690</v>
      </c>
      <c r="B2105" s="28">
        <v>150.56281999999999</v>
      </c>
      <c r="C2105" s="28">
        <f t="shared" si="41"/>
        <v>-3.375251528859334E-2</v>
      </c>
      <c r="D2105" s="31">
        <v>3991.24</v>
      </c>
      <c r="E2105" s="28">
        <f t="shared" si="41"/>
        <v>-3.2561554986877753E-2</v>
      </c>
    </row>
    <row r="2106" spans="1:5">
      <c r="A2106" s="30">
        <v>44691</v>
      </c>
      <c r="B2106" s="28">
        <v>152.98867799999999</v>
      </c>
      <c r="C2106" s="28">
        <f t="shared" si="41"/>
        <v>1.5983512918247546E-2</v>
      </c>
      <c r="D2106" s="31">
        <v>4001.05</v>
      </c>
      <c r="E2106" s="28">
        <f t="shared" si="41"/>
        <v>2.4548671098168664E-3</v>
      </c>
    </row>
    <row r="2107" spans="1:5">
      <c r="A2107" s="30">
        <v>44692</v>
      </c>
      <c r="B2107" s="28">
        <v>145.05754099999999</v>
      </c>
      <c r="C2107" s="28">
        <f t="shared" si="41"/>
        <v>-5.3233420468946122E-2</v>
      </c>
      <c r="D2107" s="31">
        <v>3935.18</v>
      </c>
      <c r="E2107" s="28">
        <f t="shared" si="41"/>
        <v>-1.6600202520523653E-2</v>
      </c>
    </row>
    <row r="2108" spans="1:5">
      <c r="A2108" s="30">
        <v>44693</v>
      </c>
      <c r="B2108" s="28">
        <v>141.15635700000001</v>
      </c>
      <c r="C2108" s="28">
        <f t="shared" si="41"/>
        <v>-2.7262307305525865E-2</v>
      </c>
      <c r="D2108" s="31">
        <v>3930.08</v>
      </c>
      <c r="E2108" s="28">
        <f t="shared" si="41"/>
        <v>-1.2968422441889949E-3</v>
      </c>
    </row>
    <row r="2109" spans="1:5">
      <c r="A2109" s="30">
        <v>44694</v>
      </c>
      <c r="B2109" s="28">
        <v>145.661575</v>
      </c>
      <c r="C2109" s="28">
        <f t="shared" si="41"/>
        <v>3.1417760703329072E-2</v>
      </c>
      <c r="D2109" s="31">
        <v>4023.89</v>
      </c>
      <c r="E2109" s="28">
        <f t="shared" si="41"/>
        <v>2.3589314531626496E-2</v>
      </c>
    </row>
    <row r="2110" spans="1:5">
      <c r="A2110" s="30">
        <v>44697</v>
      </c>
      <c r="B2110" s="28">
        <v>144.10702499999999</v>
      </c>
      <c r="C2110" s="28">
        <f t="shared" si="41"/>
        <v>-1.0729698898512743E-2</v>
      </c>
      <c r="D2110" s="31">
        <v>4008.01</v>
      </c>
      <c r="E2110" s="28">
        <f t="shared" si="41"/>
        <v>-3.9542376502765091E-3</v>
      </c>
    </row>
    <row r="2111" spans="1:5">
      <c r="A2111" s="30">
        <v>44698</v>
      </c>
      <c r="B2111" s="28">
        <v>147.77061499999999</v>
      </c>
      <c r="C2111" s="28">
        <f t="shared" si="41"/>
        <v>2.5104920095418523E-2</v>
      </c>
      <c r="D2111" s="31">
        <v>4088.85</v>
      </c>
      <c r="E2111" s="28">
        <f t="shared" si="41"/>
        <v>1.9968898134440815E-2</v>
      </c>
    </row>
    <row r="2112" spans="1:5">
      <c r="A2112" s="30">
        <v>44699</v>
      </c>
      <c r="B2112" s="28">
        <v>139.433502</v>
      </c>
      <c r="C2112" s="28">
        <f t="shared" si="41"/>
        <v>-5.8073373342611728E-2</v>
      </c>
      <c r="D2112" s="31">
        <v>3923.68</v>
      </c>
      <c r="E2112" s="28">
        <f t="shared" si="41"/>
        <v>-4.1233767985439373E-2</v>
      </c>
    </row>
    <row r="2113" spans="1:5">
      <c r="A2113" s="30">
        <v>44700</v>
      </c>
      <c r="B2113" s="28">
        <v>135.99766500000001</v>
      </c>
      <c r="C2113" s="28">
        <f t="shared" si="41"/>
        <v>-2.4950082966437522E-2</v>
      </c>
      <c r="D2113" s="31">
        <v>3900.79</v>
      </c>
      <c r="E2113" s="28">
        <f t="shared" si="41"/>
        <v>-5.8508922136055116E-3</v>
      </c>
    </row>
    <row r="2114" spans="1:5">
      <c r="A2114" s="30">
        <v>44701</v>
      </c>
      <c r="B2114" s="28">
        <v>136.23529099999999</v>
      </c>
      <c r="C2114" s="28">
        <f t="shared" si="41"/>
        <v>1.7457552813721657E-3</v>
      </c>
      <c r="D2114" s="31">
        <v>3901.36</v>
      </c>
      <c r="E2114" s="28">
        <f t="shared" si="41"/>
        <v>1.4611357151915558E-4</v>
      </c>
    </row>
    <row r="2115" spans="1:5">
      <c r="A2115" s="30">
        <v>44704</v>
      </c>
      <c r="B2115" s="28">
        <v>141.70095800000001</v>
      </c>
      <c r="C2115" s="28">
        <f t="shared" si="41"/>
        <v>3.9335435683568419E-2</v>
      </c>
      <c r="D2115" s="31">
        <v>3973.75</v>
      </c>
      <c r="E2115" s="28">
        <f t="shared" si="41"/>
        <v>1.8385022946529016E-2</v>
      </c>
    </row>
    <row r="2116" spans="1:5">
      <c r="A2116" s="30">
        <v>44705</v>
      </c>
      <c r="B2116" s="28">
        <v>138.97801200000001</v>
      </c>
      <c r="C2116" s="28">
        <f t="shared" si="41"/>
        <v>-1.9403173868513573E-2</v>
      </c>
      <c r="D2116" s="31">
        <v>3941.48</v>
      </c>
      <c r="E2116" s="28">
        <f t="shared" si="41"/>
        <v>-8.1539459482493481E-3</v>
      </c>
    </row>
    <row r="2117" spans="1:5">
      <c r="A2117" s="30">
        <v>44706</v>
      </c>
      <c r="B2117" s="28">
        <v>139.13644400000001</v>
      </c>
      <c r="C2117" s="28">
        <f t="shared" ref="C2117:E2180" si="42">LN(B2117/B2116)</f>
        <v>1.1393296085120555E-3</v>
      </c>
      <c r="D2117" s="31">
        <v>3978.73</v>
      </c>
      <c r="E2117" s="28">
        <f t="shared" si="42"/>
        <v>9.4063856025386056E-3</v>
      </c>
    </row>
    <row r="2118" spans="1:5">
      <c r="A2118" s="30">
        <v>44707</v>
      </c>
      <c r="B2118" s="28">
        <v>142.36436499999999</v>
      </c>
      <c r="C2118" s="28">
        <f t="shared" si="42"/>
        <v>2.2934658698703821E-2</v>
      </c>
      <c r="D2118" s="31">
        <v>4057.84</v>
      </c>
      <c r="E2118" s="28">
        <f t="shared" si="42"/>
        <v>1.9688139439344957E-2</v>
      </c>
    </row>
    <row r="2119" spans="1:5">
      <c r="A2119" s="30">
        <v>44708</v>
      </c>
      <c r="B2119" s="28">
        <v>148.166641</v>
      </c>
      <c r="C2119" s="28">
        <f t="shared" si="42"/>
        <v>3.994787118283108E-2</v>
      </c>
      <c r="D2119" s="31">
        <v>4158.24</v>
      </c>
      <c r="E2119" s="28">
        <f t="shared" si="42"/>
        <v>2.4441095491293145E-2</v>
      </c>
    </row>
    <row r="2120" spans="1:5">
      <c r="A2120" s="30">
        <v>44712</v>
      </c>
      <c r="B2120" s="28">
        <v>147.374527</v>
      </c>
      <c r="C2120" s="28">
        <f t="shared" si="42"/>
        <v>-5.3604437046794939E-3</v>
      </c>
      <c r="D2120" s="31">
        <v>4132.1499999999996</v>
      </c>
      <c r="E2120" s="28">
        <f t="shared" si="42"/>
        <v>-6.2940551963996914E-3</v>
      </c>
    </row>
    <row r="2121" spans="1:5">
      <c r="A2121" s="30">
        <v>44713</v>
      </c>
      <c r="B2121" s="28">
        <v>147.245789</v>
      </c>
      <c r="C2121" s="28">
        <f t="shared" si="42"/>
        <v>-8.7392485312233004E-4</v>
      </c>
      <c r="D2121" s="31">
        <v>4101.2299999999996</v>
      </c>
      <c r="E2121" s="28">
        <f t="shared" si="42"/>
        <v>-7.5109239121430331E-3</v>
      </c>
    </row>
    <row r="2122" spans="1:5">
      <c r="A2122" s="30">
        <v>44714</v>
      </c>
      <c r="B2122" s="28">
        <v>149.721191</v>
      </c>
      <c r="C2122" s="28">
        <f t="shared" si="42"/>
        <v>1.6671613353953851E-2</v>
      </c>
      <c r="D2122" s="31">
        <v>4176.82</v>
      </c>
      <c r="E2122" s="28">
        <f t="shared" si="42"/>
        <v>1.8263262738202751E-2</v>
      </c>
    </row>
    <row r="2123" spans="1:5">
      <c r="A2123" s="30">
        <v>44715</v>
      </c>
      <c r="B2123" s="28">
        <v>143.94859299999999</v>
      </c>
      <c r="C2123" s="28">
        <f t="shared" si="42"/>
        <v>-3.9318595070385653E-2</v>
      </c>
      <c r="D2123" s="31">
        <v>4108.54</v>
      </c>
      <c r="E2123" s="28">
        <f t="shared" si="42"/>
        <v>-1.6482457202400495E-2</v>
      </c>
    </row>
    <row r="2124" spans="1:5">
      <c r="A2124" s="30">
        <v>44718</v>
      </c>
      <c r="B2124" s="28">
        <v>144.701111</v>
      </c>
      <c r="C2124" s="28">
        <f t="shared" si="42"/>
        <v>5.2140687790966384E-3</v>
      </c>
      <c r="D2124" s="31">
        <v>4121.43</v>
      </c>
      <c r="E2124" s="28">
        <f t="shared" si="42"/>
        <v>3.1324562641237242E-3</v>
      </c>
    </row>
    <row r="2125" spans="1:5">
      <c r="A2125" s="30">
        <v>44719</v>
      </c>
      <c r="B2125" s="28">
        <v>147.245789</v>
      </c>
      <c r="C2125" s="28">
        <f t="shared" si="42"/>
        <v>1.7432912937335114E-2</v>
      </c>
      <c r="D2125" s="31">
        <v>4160.68</v>
      </c>
      <c r="E2125" s="28">
        <f t="shared" si="42"/>
        <v>9.4783319340661174E-3</v>
      </c>
    </row>
    <row r="2126" spans="1:5">
      <c r="A2126" s="30">
        <v>44720</v>
      </c>
      <c r="B2126" s="28">
        <v>146.50318899999999</v>
      </c>
      <c r="C2126" s="28">
        <f t="shared" si="42"/>
        <v>-5.0560283613933048E-3</v>
      </c>
      <c r="D2126" s="31">
        <v>4115.7700000000004</v>
      </c>
      <c r="E2126" s="28">
        <f t="shared" si="42"/>
        <v>-1.0852585537420805E-2</v>
      </c>
    </row>
    <row r="2127" spans="1:5">
      <c r="A2127" s="30">
        <v>44721</v>
      </c>
      <c r="B2127" s="28">
        <v>141.23558</v>
      </c>
      <c r="C2127" s="28">
        <f t="shared" si="42"/>
        <v>-3.6617919818703056E-2</v>
      </c>
      <c r="D2127" s="31">
        <v>4017.82</v>
      </c>
      <c r="E2127" s="28">
        <f t="shared" si="42"/>
        <v>-2.4086469933734811E-2</v>
      </c>
    </row>
    <row r="2128" spans="1:5">
      <c r="A2128" s="30">
        <v>44722</v>
      </c>
      <c r="B2128" s="28">
        <v>135.779831</v>
      </c>
      <c r="C2128" s="28">
        <f t="shared" si="42"/>
        <v>-3.9394592107343675E-2</v>
      </c>
      <c r="D2128" s="31">
        <v>3900.86</v>
      </c>
      <c r="E2128" s="28">
        <f t="shared" si="42"/>
        <v>-2.954242533536117E-2</v>
      </c>
    </row>
    <row r="2129" spans="1:5">
      <c r="A2129" s="30">
        <v>44725</v>
      </c>
      <c r="B2129" s="28">
        <v>130.58152799999999</v>
      </c>
      <c r="C2129" s="28">
        <f t="shared" si="42"/>
        <v>-3.9036916883380443E-2</v>
      </c>
      <c r="D2129" s="31">
        <v>3749.63</v>
      </c>
      <c r="E2129" s="28">
        <f t="shared" si="42"/>
        <v>-3.9539873198958186E-2</v>
      </c>
    </row>
    <row r="2130" spans="1:5">
      <c r="A2130" s="30">
        <v>44726</v>
      </c>
      <c r="B2130" s="28">
        <v>131.45285000000001</v>
      </c>
      <c r="C2130" s="28">
        <f t="shared" si="42"/>
        <v>6.6504648596123241E-3</v>
      </c>
      <c r="D2130" s="31">
        <v>3735.48</v>
      </c>
      <c r="E2130" s="28">
        <f t="shared" si="42"/>
        <v>-3.7808440639954524E-3</v>
      </c>
    </row>
    <row r="2131" spans="1:5">
      <c r="A2131" s="30">
        <v>44727</v>
      </c>
      <c r="B2131" s="28">
        <v>134.09655799999999</v>
      </c>
      <c r="C2131" s="28">
        <f t="shared" si="42"/>
        <v>1.9911890357362069E-2</v>
      </c>
      <c r="D2131" s="31">
        <v>3789.99</v>
      </c>
      <c r="E2131" s="28">
        <f t="shared" si="42"/>
        <v>1.4487056184644877E-2</v>
      </c>
    </row>
    <row r="2132" spans="1:5">
      <c r="A2132" s="30">
        <v>44728</v>
      </c>
      <c r="B2132" s="28">
        <v>128.77941899999999</v>
      </c>
      <c r="C2132" s="28">
        <f t="shared" si="42"/>
        <v>-4.0459112016099669E-2</v>
      </c>
      <c r="D2132" s="31">
        <v>3666.77</v>
      </c>
      <c r="E2132" s="28">
        <f t="shared" si="42"/>
        <v>-3.3052215017083934E-2</v>
      </c>
    </row>
    <row r="2133" spans="1:5">
      <c r="A2133" s="30">
        <v>44729</v>
      </c>
      <c r="B2133" s="28">
        <v>130.26466400000001</v>
      </c>
      <c r="C2133" s="28">
        <f t="shared" si="42"/>
        <v>1.1467247259971993E-2</v>
      </c>
      <c r="D2133" s="31">
        <v>3674.84</v>
      </c>
      <c r="E2133" s="28">
        <f t="shared" si="42"/>
        <v>2.1984287507105164E-3</v>
      </c>
    </row>
    <row r="2134" spans="1:5">
      <c r="A2134" s="30">
        <v>44733</v>
      </c>
      <c r="B2134" s="28">
        <v>134.53222700000001</v>
      </c>
      <c r="C2134" s="28">
        <f t="shared" si="42"/>
        <v>3.223551849921602E-2</v>
      </c>
      <c r="D2134" s="31">
        <v>3764.79</v>
      </c>
      <c r="E2134" s="28">
        <f t="shared" si="42"/>
        <v>2.4182488501784571E-2</v>
      </c>
    </row>
    <row r="2135" spans="1:5">
      <c r="A2135" s="30">
        <v>44734</v>
      </c>
      <c r="B2135" s="28">
        <v>134.017349</v>
      </c>
      <c r="C2135" s="28">
        <f t="shared" si="42"/>
        <v>-3.8345145692999724E-3</v>
      </c>
      <c r="D2135" s="31">
        <v>3759.89</v>
      </c>
      <c r="E2135" s="28">
        <f t="shared" si="42"/>
        <v>-1.3023811491289687E-3</v>
      </c>
    </row>
    <row r="2136" spans="1:5">
      <c r="A2136" s="30">
        <v>44735</v>
      </c>
      <c r="B2136" s="28">
        <v>136.90860000000001</v>
      </c>
      <c r="C2136" s="28">
        <f t="shared" si="42"/>
        <v>2.1344288178040679E-2</v>
      </c>
      <c r="D2136" s="31">
        <v>3795.73</v>
      </c>
      <c r="E2136" s="28">
        <f t="shared" si="42"/>
        <v>9.4870490606574001E-3</v>
      </c>
    </row>
    <row r="2137" spans="1:5">
      <c r="A2137" s="30">
        <v>44736</v>
      </c>
      <c r="B2137" s="28">
        <v>140.26521299999999</v>
      </c>
      <c r="C2137" s="28">
        <f t="shared" si="42"/>
        <v>2.4221459210862679E-2</v>
      </c>
      <c r="D2137" s="31">
        <v>3911.74</v>
      </c>
      <c r="E2137" s="28">
        <f t="shared" si="42"/>
        <v>3.0105537080807647E-2</v>
      </c>
    </row>
    <row r="2138" spans="1:5">
      <c r="A2138" s="30">
        <v>44739</v>
      </c>
      <c r="B2138" s="28">
        <v>140.26521299999999</v>
      </c>
      <c r="C2138" s="28">
        <f t="shared" si="42"/>
        <v>0</v>
      </c>
      <c r="D2138" s="31">
        <v>3900.11</v>
      </c>
      <c r="E2138" s="28">
        <f t="shared" si="42"/>
        <v>-2.9775299301252065E-3</v>
      </c>
    </row>
    <row r="2139" spans="1:5">
      <c r="A2139" s="30">
        <v>44740</v>
      </c>
      <c r="B2139" s="28">
        <v>136.08677700000001</v>
      </c>
      <c r="C2139" s="28">
        <f t="shared" si="42"/>
        <v>-3.0242260673681919E-2</v>
      </c>
      <c r="D2139" s="31">
        <v>3821.55</v>
      </c>
      <c r="E2139" s="28">
        <f t="shared" si="42"/>
        <v>-2.0348658383248716E-2</v>
      </c>
    </row>
    <row r="2140" spans="1:5">
      <c r="A2140" s="30">
        <v>44741</v>
      </c>
      <c r="B2140" s="28">
        <v>137.85913099999999</v>
      </c>
      <c r="C2140" s="28">
        <f t="shared" si="42"/>
        <v>1.293962550648791E-2</v>
      </c>
      <c r="D2140" s="31">
        <v>3818.83</v>
      </c>
      <c r="E2140" s="28">
        <f t="shared" si="42"/>
        <v>-7.1200650096186937E-4</v>
      </c>
    </row>
    <row r="2141" spans="1:5">
      <c r="A2141" s="30">
        <v>44742</v>
      </c>
      <c r="B2141" s="28">
        <v>135.37385599999999</v>
      </c>
      <c r="C2141" s="28">
        <f t="shared" si="42"/>
        <v>-1.819211925607454E-2</v>
      </c>
      <c r="D2141" s="31">
        <v>3785.38</v>
      </c>
      <c r="E2141" s="28">
        <f t="shared" si="42"/>
        <v>-8.7978148306084494E-3</v>
      </c>
    </row>
    <row r="2142" spans="1:5">
      <c r="A2142" s="30">
        <v>44743</v>
      </c>
      <c r="B2142" s="28">
        <v>137.56210300000001</v>
      </c>
      <c r="C2142" s="28">
        <f t="shared" si="42"/>
        <v>1.6035218636325906E-2</v>
      </c>
      <c r="D2142" s="31">
        <v>3825.33</v>
      </c>
      <c r="E2142" s="28">
        <f t="shared" si="42"/>
        <v>1.0498459915641863E-2</v>
      </c>
    </row>
    <row r="2143" spans="1:5">
      <c r="A2143" s="30">
        <v>44747</v>
      </c>
      <c r="B2143" s="28">
        <v>140.16619900000001</v>
      </c>
      <c r="C2143" s="28">
        <f t="shared" si="42"/>
        <v>1.8753380913576069E-2</v>
      </c>
      <c r="D2143" s="31">
        <v>3831.39</v>
      </c>
      <c r="E2143" s="28">
        <f t="shared" si="42"/>
        <v>1.5829235665797978E-3</v>
      </c>
    </row>
    <row r="2144" spans="1:5">
      <c r="A2144" s="30">
        <v>44748</v>
      </c>
      <c r="B2144" s="28">
        <v>141.51281700000001</v>
      </c>
      <c r="C2144" s="28">
        <f t="shared" si="42"/>
        <v>9.5614382513519326E-3</v>
      </c>
      <c r="D2144" s="31">
        <v>3845.08</v>
      </c>
      <c r="E2144" s="28">
        <f t="shared" si="42"/>
        <v>3.5667473495814678E-3</v>
      </c>
    </row>
    <row r="2145" spans="1:5">
      <c r="A2145" s="30">
        <v>44749</v>
      </c>
      <c r="B2145" s="28">
        <v>144.90905799999999</v>
      </c>
      <c r="C2145" s="28">
        <f t="shared" si="42"/>
        <v>2.3716066963615723E-2</v>
      </c>
      <c r="D2145" s="31">
        <v>3902.62</v>
      </c>
      <c r="E2145" s="28">
        <f t="shared" si="42"/>
        <v>1.4853713471199018E-2</v>
      </c>
    </row>
    <row r="2146" spans="1:5">
      <c r="A2146" s="30">
        <v>44750</v>
      </c>
      <c r="B2146" s="28">
        <v>145.59225499999999</v>
      </c>
      <c r="C2146" s="28">
        <f t="shared" si="42"/>
        <v>4.7035812162999849E-3</v>
      </c>
      <c r="D2146" s="31">
        <v>3899.38</v>
      </c>
      <c r="E2146" s="28">
        <f t="shared" si="42"/>
        <v>-8.3055631536842949E-4</v>
      </c>
    </row>
    <row r="2147" spans="1:5">
      <c r="A2147" s="30">
        <v>44753</v>
      </c>
      <c r="B2147" s="28">
        <v>143.44360399999999</v>
      </c>
      <c r="C2147" s="28">
        <f t="shared" si="42"/>
        <v>-1.4867986197186307E-2</v>
      </c>
      <c r="D2147" s="31">
        <v>3854.43</v>
      </c>
      <c r="E2147" s="28">
        <f t="shared" si="42"/>
        <v>-1.159442997810581E-2</v>
      </c>
    </row>
    <row r="2148" spans="1:5">
      <c r="A2148" s="30">
        <v>44754</v>
      </c>
      <c r="B2148" s="28">
        <v>144.42385899999999</v>
      </c>
      <c r="C2148" s="28">
        <f t="shared" si="42"/>
        <v>6.8104868726048002E-3</v>
      </c>
      <c r="D2148" s="31">
        <v>3818.8</v>
      </c>
      <c r="E2148" s="28">
        <f t="shared" si="42"/>
        <v>-9.2868990190167582E-3</v>
      </c>
    </row>
    <row r="2149" spans="1:5">
      <c r="A2149" s="30">
        <v>44755</v>
      </c>
      <c r="B2149" s="28">
        <v>144.057526</v>
      </c>
      <c r="C2149" s="28">
        <f t="shared" si="42"/>
        <v>-2.5397354280712481E-3</v>
      </c>
      <c r="D2149" s="31">
        <v>3801.78</v>
      </c>
      <c r="E2149" s="28">
        <f t="shared" si="42"/>
        <v>-4.466859031662644E-3</v>
      </c>
    </row>
    <row r="2150" spans="1:5">
      <c r="A2150" s="30">
        <v>44756</v>
      </c>
      <c r="B2150" s="28">
        <v>147.00814800000001</v>
      </c>
      <c r="C2150" s="28">
        <f t="shared" si="42"/>
        <v>2.0275307900278417E-2</v>
      </c>
      <c r="D2150" s="31">
        <v>3790.38</v>
      </c>
      <c r="E2150" s="28">
        <f t="shared" si="42"/>
        <v>-3.0031001895847553E-3</v>
      </c>
    </row>
    <row r="2151" spans="1:5">
      <c r="A2151" s="30">
        <v>44757</v>
      </c>
      <c r="B2151" s="28">
        <v>148.69143700000001</v>
      </c>
      <c r="C2151" s="28">
        <f t="shared" si="42"/>
        <v>1.1385252250821562E-2</v>
      </c>
      <c r="D2151" s="31">
        <v>3863.16</v>
      </c>
      <c r="E2151" s="28">
        <f t="shared" si="42"/>
        <v>1.9019223492515371E-2</v>
      </c>
    </row>
    <row r="2152" spans="1:5">
      <c r="A2152" s="30">
        <v>44760</v>
      </c>
      <c r="B2152" s="28">
        <v>145.62196399999999</v>
      </c>
      <c r="C2152" s="28">
        <f t="shared" si="42"/>
        <v>-2.085929003090858E-2</v>
      </c>
      <c r="D2152" s="31">
        <v>3830.85</v>
      </c>
      <c r="E2152" s="28">
        <f t="shared" si="42"/>
        <v>-8.398790728860633E-3</v>
      </c>
    </row>
    <row r="2153" spans="1:5">
      <c r="A2153" s="30">
        <v>44761</v>
      </c>
      <c r="B2153" s="28">
        <v>149.51326</v>
      </c>
      <c r="C2153" s="28">
        <f t="shared" si="42"/>
        <v>2.6371108515716855E-2</v>
      </c>
      <c r="D2153" s="31">
        <v>3936.69</v>
      </c>
      <c r="E2153" s="28">
        <f t="shared" si="42"/>
        <v>2.7253558019802913E-2</v>
      </c>
    </row>
    <row r="2154" spans="1:5">
      <c r="A2154" s="30">
        <v>44762</v>
      </c>
      <c r="B2154" s="28">
        <v>151.53317300000001</v>
      </c>
      <c r="C2154" s="28">
        <f t="shared" si="42"/>
        <v>1.3419480127053881E-2</v>
      </c>
      <c r="D2154" s="31">
        <v>3959.9</v>
      </c>
      <c r="E2154" s="28">
        <f t="shared" si="42"/>
        <v>5.8785037183350592E-3</v>
      </c>
    </row>
    <row r="2155" spans="1:5">
      <c r="A2155" s="30">
        <v>44763</v>
      </c>
      <c r="B2155" s="28">
        <v>153.820435</v>
      </c>
      <c r="C2155" s="28">
        <f t="shared" si="42"/>
        <v>1.4981350928923666E-2</v>
      </c>
      <c r="D2155" s="31">
        <v>3998.95</v>
      </c>
      <c r="E2155" s="28">
        <f t="shared" si="42"/>
        <v>9.8130542384489011E-3</v>
      </c>
    </row>
    <row r="2156" spans="1:5">
      <c r="A2156" s="30">
        <v>44764</v>
      </c>
      <c r="B2156" s="28">
        <v>152.572845</v>
      </c>
      <c r="C2156" s="28">
        <f t="shared" si="42"/>
        <v>-8.1437614760671174E-3</v>
      </c>
      <c r="D2156" s="31">
        <v>3961.63</v>
      </c>
      <c r="E2156" s="28">
        <f t="shared" si="42"/>
        <v>-9.3762699234227094E-3</v>
      </c>
    </row>
    <row r="2157" spans="1:5">
      <c r="A2157" s="30">
        <v>44767</v>
      </c>
      <c r="B2157" s="28">
        <v>151.44404599999999</v>
      </c>
      <c r="C2157" s="28">
        <f t="shared" si="42"/>
        <v>-7.42593073386171E-3</v>
      </c>
      <c r="D2157" s="31">
        <v>3966.84</v>
      </c>
      <c r="E2157" s="28">
        <f t="shared" si="42"/>
        <v>1.3142512363463167E-3</v>
      </c>
    </row>
    <row r="2158" spans="1:5">
      <c r="A2158" s="30">
        <v>44768</v>
      </c>
      <c r="B2158" s="28">
        <v>150.10737599999999</v>
      </c>
      <c r="C2158" s="28">
        <f t="shared" si="42"/>
        <v>-8.8653453907278235E-3</v>
      </c>
      <c r="D2158" s="31">
        <v>3921.05</v>
      </c>
      <c r="E2158" s="28">
        <f t="shared" si="42"/>
        <v>-1.161033289574997E-2</v>
      </c>
    </row>
    <row r="2159" spans="1:5">
      <c r="A2159" s="30">
        <v>44769</v>
      </c>
      <c r="B2159" s="28">
        <v>155.24623099999999</v>
      </c>
      <c r="C2159" s="28">
        <f t="shared" si="42"/>
        <v>3.3661565541263677E-2</v>
      </c>
      <c r="D2159" s="31">
        <v>4023.61</v>
      </c>
      <c r="E2159" s="28">
        <f t="shared" si="42"/>
        <v>2.5820034533563709E-2</v>
      </c>
    </row>
    <row r="2160" spans="1:5">
      <c r="A2160" s="30">
        <v>44770</v>
      </c>
      <c r="B2160" s="28">
        <v>155.80075099999999</v>
      </c>
      <c r="C2160" s="28">
        <f t="shared" si="42"/>
        <v>3.5655101611708436E-3</v>
      </c>
      <c r="D2160" s="31">
        <v>4072.43</v>
      </c>
      <c r="E2160" s="28">
        <f t="shared" si="42"/>
        <v>1.2060363275690102E-2</v>
      </c>
    </row>
    <row r="2161" spans="1:5">
      <c r="A2161" s="30">
        <v>44771</v>
      </c>
      <c r="B2161" s="28">
        <v>160.909943</v>
      </c>
      <c r="C2161" s="28">
        <f t="shared" si="42"/>
        <v>3.226689452826563E-2</v>
      </c>
      <c r="D2161" s="31">
        <v>4130.29</v>
      </c>
      <c r="E2161" s="28">
        <f t="shared" si="42"/>
        <v>1.4107749538291978E-2</v>
      </c>
    </row>
    <row r="2162" spans="1:5">
      <c r="A2162" s="30">
        <v>44774</v>
      </c>
      <c r="B2162" s="28">
        <v>159.91980000000001</v>
      </c>
      <c r="C2162" s="28">
        <f t="shared" si="42"/>
        <v>-6.1724086696592724E-3</v>
      </c>
      <c r="D2162" s="31">
        <v>4118.63</v>
      </c>
      <c r="E2162" s="28">
        <f t="shared" si="42"/>
        <v>-2.8270386343186992E-3</v>
      </c>
    </row>
    <row r="2163" spans="1:5">
      <c r="A2163" s="30">
        <v>44775</v>
      </c>
      <c r="B2163" s="28">
        <v>158.43455499999999</v>
      </c>
      <c r="C2163" s="28">
        <f t="shared" si="42"/>
        <v>-9.330833724505723E-3</v>
      </c>
      <c r="D2163" s="31">
        <v>4091.19</v>
      </c>
      <c r="E2163" s="28">
        <f t="shared" si="42"/>
        <v>-6.6847025099674136E-3</v>
      </c>
    </row>
    <row r="2164" spans="1:5">
      <c r="A2164" s="30">
        <v>44776</v>
      </c>
      <c r="B2164" s="28">
        <v>164.49430799999999</v>
      </c>
      <c r="C2164" s="28">
        <f t="shared" si="42"/>
        <v>3.753436194151713E-2</v>
      </c>
      <c r="D2164" s="31">
        <v>4155.17</v>
      </c>
      <c r="E2164" s="28">
        <f t="shared" si="42"/>
        <v>1.5517460750035557E-2</v>
      </c>
    </row>
    <row r="2165" spans="1:5">
      <c r="A2165" s="30">
        <v>44777</v>
      </c>
      <c r="B2165" s="28">
        <v>164.17744400000001</v>
      </c>
      <c r="C2165" s="28">
        <f t="shared" si="42"/>
        <v>-1.9281492628466053E-3</v>
      </c>
      <c r="D2165" s="31">
        <v>4151.9399999999996</v>
      </c>
      <c r="E2165" s="28">
        <f t="shared" si="42"/>
        <v>-7.7764713908326987E-4</v>
      </c>
    </row>
    <row r="2166" spans="1:5">
      <c r="A2166" s="30">
        <v>44778</v>
      </c>
      <c r="B2166" s="28">
        <v>163.94940199999999</v>
      </c>
      <c r="C2166" s="28">
        <f t="shared" si="42"/>
        <v>-1.389962689701408E-3</v>
      </c>
      <c r="D2166" s="31">
        <v>4145.1899999999996</v>
      </c>
      <c r="E2166" s="28">
        <f t="shared" si="42"/>
        <v>-1.6270689959386672E-3</v>
      </c>
    </row>
    <row r="2167" spans="1:5">
      <c r="A2167" s="30">
        <v>44781</v>
      </c>
      <c r="B2167" s="28">
        <v>163.47345000000001</v>
      </c>
      <c r="C2167" s="28">
        <f t="shared" si="42"/>
        <v>-2.9072640002298414E-3</v>
      </c>
      <c r="D2167" s="31">
        <v>4140.0600000000004</v>
      </c>
      <c r="E2167" s="28">
        <f t="shared" si="42"/>
        <v>-1.2383454103545306E-3</v>
      </c>
    </row>
    <row r="2168" spans="1:5">
      <c r="A2168" s="30">
        <v>44782</v>
      </c>
      <c r="B2168" s="28">
        <v>163.52302599999999</v>
      </c>
      <c r="C2168" s="28">
        <f t="shared" si="42"/>
        <v>3.0322039543817427E-4</v>
      </c>
      <c r="D2168" s="31">
        <v>4122.47</v>
      </c>
      <c r="E2168" s="28">
        <f t="shared" si="42"/>
        <v>-4.2577821983481121E-3</v>
      </c>
    </row>
    <row r="2169" spans="1:5">
      <c r="A2169" s="30">
        <v>44783</v>
      </c>
      <c r="B2169" s="28">
        <v>167.80645799999999</v>
      </c>
      <c r="C2169" s="28">
        <f t="shared" si="42"/>
        <v>2.5857467360011894E-2</v>
      </c>
      <c r="D2169" s="31">
        <v>4210.24</v>
      </c>
      <c r="E2169" s="28">
        <f t="shared" si="42"/>
        <v>2.1067154907856916E-2</v>
      </c>
    </row>
    <row r="2170" spans="1:5">
      <c r="A2170" s="30">
        <v>44784</v>
      </c>
      <c r="B2170" s="28">
        <v>167.06279000000001</v>
      </c>
      <c r="C2170" s="28">
        <f t="shared" si="42"/>
        <v>-4.4415498108109379E-3</v>
      </c>
      <c r="D2170" s="31">
        <v>4207.2700000000004</v>
      </c>
      <c r="E2170" s="28">
        <f t="shared" si="42"/>
        <v>-7.0567189661734585E-4</v>
      </c>
    </row>
    <row r="2171" spans="1:5">
      <c r="A2171" s="30">
        <v>44785</v>
      </c>
      <c r="B2171" s="28">
        <v>170.64222699999999</v>
      </c>
      <c r="C2171" s="28">
        <f t="shared" si="42"/>
        <v>2.1199395170333639E-2</v>
      </c>
      <c r="D2171" s="31">
        <v>4280.1499999999996</v>
      </c>
      <c r="E2171" s="28">
        <f t="shared" si="42"/>
        <v>1.7174074409836079E-2</v>
      </c>
    </row>
    <row r="2172" spans="1:5">
      <c r="A2172" s="30">
        <v>44788</v>
      </c>
      <c r="B2172" s="28">
        <v>171.722961</v>
      </c>
      <c r="C2172" s="28">
        <f t="shared" si="42"/>
        <v>6.3133614490243706E-3</v>
      </c>
      <c r="D2172" s="31">
        <v>4297.1400000000003</v>
      </c>
      <c r="E2172" s="28">
        <f t="shared" si="42"/>
        <v>3.9616294239327712E-3</v>
      </c>
    </row>
    <row r="2173" spans="1:5">
      <c r="A2173" s="30">
        <v>44789</v>
      </c>
      <c r="B2173" s="28">
        <v>171.564346</v>
      </c>
      <c r="C2173" s="28">
        <f t="shared" si="42"/>
        <v>-9.2409482117822555E-4</v>
      </c>
      <c r="D2173" s="31">
        <v>4305.2</v>
      </c>
      <c r="E2173" s="28">
        <f t="shared" si="42"/>
        <v>1.8739092755182558E-3</v>
      </c>
    </row>
    <row r="2174" spans="1:5">
      <c r="A2174" s="30">
        <v>44790</v>
      </c>
      <c r="B2174" s="28">
        <v>173.07144199999999</v>
      </c>
      <c r="C2174" s="28">
        <f t="shared" si="42"/>
        <v>8.7460772179263485E-3</v>
      </c>
      <c r="D2174" s="31">
        <v>4274.04</v>
      </c>
      <c r="E2174" s="28">
        <f t="shared" si="42"/>
        <v>-7.26407864047862E-3</v>
      </c>
    </row>
    <row r="2175" spans="1:5">
      <c r="A2175" s="30">
        <v>44791</v>
      </c>
      <c r="B2175" s="28">
        <v>172.67486600000001</v>
      </c>
      <c r="C2175" s="28">
        <f t="shared" si="42"/>
        <v>-2.2940298406163807E-3</v>
      </c>
      <c r="D2175" s="31">
        <v>4283.74</v>
      </c>
      <c r="E2175" s="28">
        <f t="shared" si="42"/>
        <v>2.2669440331611829E-3</v>
      </c>
    </row>
    <row r="2176" spans="1:5">
      <c r="A2176" s="30">
        <v>44792</v>
      </c>
      <c r="B2176" s="28">
        <v>170.067139</v>
      </c>
      <c r="C2176" s="28">
        <f t="shared" si="42"/>
        <v>-1.5217144572449118E-2</v>
      </c>
      <c r="D2176" s="31">
        <v>4228.4799999999996</v>
      </c>
      <c r="E2176" s="28">
        <f t="shared" si="42"/>
        <v>-1.2983869381359623E-2</v>
      </c>
    </row>
    <row r="2177" spans="1:5">
      <c r="A2177" s="30">
        <v>44795</v>
      </c>
      <c r="B2177" s="28">
        <v>166.15057400000001</v>
      </c>
      <c r="C2177" s="28">
        <f t="shared" si="42"/>
        <v>-2.329884487372761E-2</v>
      </c>
      <c r="D2177" s="31">
        <v>4137.99</v>
      </c>
      <c r="E2177" s="28">
        <f t="shared" si="42"/>
        <v>-2.1632427725287454E-2</v>
      </c>
    </row>
    <row r="2178" spans="1:5">
      <c r="A2178" s="30">
        <v>44796</v>
      </c>
      <c r="B2178" s="28">
        <v>165.81347700000001</v>
      </c>
      <c r="C2178" s="28">
        <f t="shared" si="42"/>
        <v>-2.0309254261238105E-3</v>
      </c>
      <c r="D2178" s="31">
        <v>4128.7299999999996</v>
      </c>
      <c r="E2178" s="28">
        <f t="shared" si="42"/>
        <v>-2.2403090640503252E-3</v>
      </c>
    </row>
    <row r="2179" spans="1:5">
      <c r="A2179" s="30">
        <v>44797</v>
      </c>
      <c r="B2179" s="28">
        <v>166.11093099999999</v>
      </c>
      <c r="C2179" s="28">
        <f t="shared" si="42"/>
        <v>1.7923001289314243E-3</v>
      </c>
      <c r="D2179" s="31">
        <v>4140.7700000000004</v>
      </c>
      <c r="E2179" s="28">
        <f t="shared" si="42"/>
        <v>2.9119072513373811E-3</v>
      </c>
    </row>
    <row r="2180" spans="1:5">
      <c r="A2180" s="30">
        <v>44798</v>
      </c>
      <c r="B2180" s="28">
        <v>168.58973700000001</v>
      </c>
      <c r="C2180" s="28">
        <f t="shared" si="42"/>
        <v>1.481234762182272E-2</v>
      </c>
      <c r="D2180" s="31">
        <v>4199.12</v>
      </c>
      <c r="E2180" s="28">
        <f t="shared" si="42"/>
        <v>1.3993218645290096E-2</v>
      </c>
    </row>
    <row r="2181" spans="1:5">
      <c r="A2181" s="30">
        <v>44799</v>
      </c>
      <c r="B2181" s="28">
        <v>162.234039</v>
      </c>
      <c r="C2181" s="28">
        <f t="shared" ref="C2181:E2244" si="43">LN(B2181/B2180)</f>
        <v>-3.842819396495159E-2</v>
      </c>
      <c r="D2181" s="31">
        <v>4057.66</v>
      </c>
      <c r="E2181" s="28">
        <f t="shared" si="43"/>
        <v>-3.4268526748985458E-2</v>
      </c>
    </row>
    <row r="2182" spans="1:5">
      <c r="A2182" s="30">
        <v>44802</v>
      </c>
      <c r="B2182" s="28">
        <v>160.01303100000001</v>
      </c>
      <c r="C2182" s="28">
        <f t="shared" si="43"/>
        <v>-1.3784722196449361E-2</v>
      </c>
      <c r="D2182" s="31">
        <v>4030.61</v>
      </c>
      <c r="E2182" s="28">
        <f t="shared" si="43"/>
        <v>-6.6887235092639493E-3</v>
      </c>
    </row>
    <row r="2183" spans="1:5">
      <c r="A2183" s="30">
        <v>44803</v>
      </c>
      <c r="B2183" s="28">
        <v>157.56395000000001</v>
      </c>
      <c r="C2183" s="28">
        <f t="shared" si="43"/>
        <v>-1.5423848064328508E-2</v>
      </c>
      <c r="D2183" s="31">
        <v>3986.16</v>
      </c>
      <c r="E2183" s="28">
        <f t="shared" si="43"/>
        <v>-1.1089367791653617E-2</v>
      </c>
    </row>
    <row r="2184" spans="1:5">
      <c r="A2184" s="30">
        <v>44804</v>
      </c>
      <c r="B2184" s="28">
        <v>155.88826</v>
      </c>
      <c r="C2184" s="28">
        <f t="shared" si="43"/>
        <v>-1.0691939057434211E-2</v>
      </c>
      <c r="D2184" s="31">
        <v>3955</v>
      </c>
      <c r="E2184" s="28">
        <f t="shared" si="43"/>
        <v>-7.8477602570987508E-3</v>
      </c>
    </row>
    <row r="2185" spans="1:5">
      <c r="A2185" s="30">
        <v>44805</v>
      </c>
      <c r="B2185" s="28">
        <v>156.621994</v>
      </c>
      <c r="C2185" s="28">
        <f t="shared" si="43"/>
        <v>4.6957521479670224E-3</v>
      </c>
      <c r="D2185" s="31">
        <v>3966.85</v>
      </c>
      <c r="E2185" s="28">
        <f t="shared" si="43"/>
        <v>2.9917276491103818E-3</v>
      </c>
    </row>
    <row r="2186" spans="1:5">
      <c r="A2186" s="30">
        <v>44806</v>
      </c>
      <c r="B2186" s="28">
        <v>154.490219</v>
      </c>
      <c r="C2186" s="28">
        <f t="shared" si="43"/>
        <v>-1.3704433803235588E-2</v>
      </c>
      <c r="D2186" s="31">
        <v>3924.26</v>
      </c>
      <c r="E2186" s="28">
        <f t="shared" si="43"/>
        <v>-1.0794530441166154E-2</v>
      </c>
    </row>
    <row r="2187" spans="1:5">
      <c r="A2187" s="30">
        <v>44810</v>
      </c>
      <c r="B2187" s="28">
        <v>153.22103899999999</v>
      </c>
      <c r="C2187" s="28">
        <f t="shared" si="43"/>
        <v>-8.2492087256771686E-3</v>
      </c>
      <c r="D2187" s="31">
        <v>3908.19</v>
      </c>
      <c r="E2187" s="28">
        <f t="shared" si="43"/>
        <v>-4.1034472098145404E-3</v>
      </c>
    </row>
    <row r="2188" spans="1:5">
      <c r="A2188" s="30">
        <v>44811</v>
      </c>
      <c r="B2188" s="28">
        <v>154.63893100000001</v>
      </c>
      <c r="C2188" s="28">
        <f t="shared" si="43"/>
        <v>9.2113438816270772E-3</v>
      </c>
      <c r="D2188" s="31">
        <v>3979.87</v>
      </c>
      <c r="E2188" s="28">
        <f t="shared" si="43"/>
        <v>1.8174804228558855E-2</v>
      </c>
    </row>
    <row r="2189" spans="1:5">
      <c r="A2189" s="30">
        <v>44812</v>
      </c>
      <c r="B2189" s="28">
        <v>153.151657</v>
      </c>
      <c r="C2189" s="28">
        <f t="shared" si="43"/>
        <v>-9.6642693680815319E-3</v>
      </c>
      <c r="D2189" s="31">
        <v>4006.18</v>
      </c>
      <c r="E2189" s="28">
        <f t="shared" si="43"/>
        <v>6.5890133889801002E-3</v>
      </c>
    </row>
    <row r="2190" spans="1:5">
      <c r="A2190" s="30">
        <v>44813</v>
      </c>
      <c r="B2190" s="28">
        <v>156.037003</v>
      </c>
      <c r="C2190" s="28">
        <f t="shared" si="43"/>
        <v>1.8664525162015562E-2</v>
      </c>
      <c r="D2190" s="31">
        <v>4067.36</v>
      </c>
      <c r="E2190" s="28">
        <f t="shared" si="43"/>
        <v>1.5155971507018435E-2</v>
      </c>
    </row>
    <row r="2191" spans="1:5">
      <c r="A2191" s="30">
        <v>44816</v>
      </c>
      <c r="B2191" s="28">
        <v>162.04565400000001</v>
      </c>
      <c r="C2191" s="28">
        <f t="shared" si="43"/>
        <v>3.7784932504545447E-2</v>
      </c>
      <c r="D2191" s="31">
        <v>4110.41</v>
      </c>
      <c r="E2191" s="28">
        <f t="shared" si="43"/>
        <v>1.0528639881468727E-2</v>
      </c>
    </row>
    <row r="2192" spans="1:5">
      <c r="A2192" s="30">
        <v>44817</v>
      </c>
      <c r="B2192" s="28">
        <v>152.53689600000001</v>
      </c>
      <c r="C2192" s="28">
        <f t="shared" si="43"/>
        <v>-6.0471602576790004E-2</v>
      </c>
      <c r="D2192" s="31">
        <v>3932.69</v>
      </c>
      <c r="E2192" s="28">
        <f t="shared" si="43"/>
        <v>-4.4199110119582059E-2</v>
      </c>
    </row>
    <row r="2193" spans="1:5">
      <c r="A2193" s="30">
        <v>44818</v>
      </c>
      <c r="B2193" s="28">
        <v>153.99444600000001</v>
      </c>
      <c r="C2193" s="28">
        <f t="shared" si="43"/>
        <v>9.5100290601359012E-3</v>
      </c>
      <c r="D2193" s="31">
        <v>3946.01</v>
      </c>
      <c r="E2193" s="28">
        <f t="shared" si="43"/>
        <v>3.3812717048818559E-3</v>
      </c>
    </row>
    <row r="2194" spans="1:5">
      <c r="A2194" s="30">
        <v>44819</v>
      </c>
      <c r="B2194" s="28">
        <v>151.07933</v>
      </c>
      <c r="C2194" s="28">
        <f t="shared" si="43"/>
        <v>-1.911147373034968E-2</v>
      </c>
      <c r="D2194" s="31">
        <v>3901.35</v>
      </c>
      <c r="E2194" s="28">
        <f t="shared" si="43"/>
        <v>-1.1382294724738607E-2</v>
      </c>
    </row>
    <row r="2195" spans="1:5">
      <c r="A2195" s="30">
        <v>44820</v>
      </c>
      <c r="B2195" s="28">
        <v>149.42347699999999</v>
      </c>
      <c r="C2195" s="28">
        <f t="shared" si="43"/>
        <v>-1.1020660843700418E-2</v>
      </c>
      <c r="D2195" s="31">
        <v>3873.33</v>
      </c>
      <c r="E2195" s="28">
        <f t="shared" si="43"/>
        <v>-7.208044914246866E-3</v>
      </c>
    </row>
    <row r="2196" spans="1:5">
      <c r="A2196" s="30">
        <v>44823</v>
      </c>
      <c r="B2196" s="28">
        <v>153.17146299999999</v>
      </c>
      <c r="C2196" s="28">
        <f t="shared" si="43"/>
        <v>2.4773564855437736E-2</v>
      </c>
      <c r="D2196" s="31">
        <v>3899.89</v>
      </c>
      <c r="E2196" s="28">
        <f t="shared" si="43"/>
        <v>6.8337454395362542E-3</v>
      </c>
    </row>
    <row r="2197" spans="1:5">
      <c r="A2197" s="30">
        <v>44824</v>
      </c>
      <c r="B2197" s="28">
        <v>155.57093800000001</v>
      </c>
      <c r="C2197" s="28">
        <f t="shared" si="43"/>
        <v>1.5543853411379956E-2</v>
      </c>
      <c r="D2197" s="31">
        <v>3855.93</v>
      </c>
      <c r="E2197" s="28">
        <f t="shared" si="43"/>
        <v>-1.1336124553072551E-2</v>
      </c>
    </row>
    <row r="2198" spans="1:5">
      <c r="A2198" s="30">
        <v>44825</v>
      </c>
      <c r="B2198" s="28">
        <v>152.41790800000001</v>
      </c>
      <c r="C2198" s="28">
        <f t="shared" si="43"/>
        <v>-2.0475677610106036E-2</v>
      </c>
      <c r="D2198" s="31">
        <v>3789.93</v>
      </c>
      <c r="E2198" s="28">
        <f t="shared" si="43"/>
        <v>-1.7264673789774226E-2</v>
      </c>
    </row>
    <row r="2199" spans="1:5">
      <c r="A2199" s="30">
        <v>44826</v>
      </c>
      <c r="B2199" s="28">
        <v>151.44619800000001</v>
      </c>
      <c r="C2199" s="28">
        <f t="shared" si="43"/>
        <v>-6.3957097474524631E-3</v>
      </c>
      <c r="D2199" s="31">
        <v>3757.99</v>
      </c>
      <c r="E2199" s="28">
        <f t="shared" si="43"/>
        <v>-8.4633092689318096E-3</v>
      </c>
    </row>
    <row r="2200" spans="1:5">
      <c r="A2200" s="30">
        <v>44827</v>
      </c>
      <c r="B2200" s="28">
        <v>149.15576200000001</v>
      </c>
      <c r="C2200" s="28">
        <f t="shared" si="43"/>
        <v>-1.5239290699453251E-2</v>
      </c>
      <c r="D2200" s="31">
        <v>3693.23</v>
      </c>
      <c r="E2200" s="28">
        <f t="shared" si="43"/>
        <v>-1.7382826077567966E-2</v>
      </c>
    </row>
    <row r="2201" spans="1:5">
      <c r="A2201" s="30">
        <v>44830</v>
      </c>
      <c r="B2201" s="28">
        <v>149.492874</v>
      </c>
      <c r="C2201" s="28">
        <f t="shared" si="43"/>
        <v>2.2575836788983439E-3</v>
      </c>
      <c r="D2201" s="31">
        <v>3655.04</v>
      </c>
      <c r="E2201" s="28">
        <f t="shared" si="43"/>
        <v>-1.0394376865970473E-2</v>
      </c>
    </row>
    <row r="2202" spans="1:5">
      <c r="A2202" s="30">
        <v>44831</v>
      </c>
      <c r="B2202" s="28">
        <v>150.474503</v>
      </c>
      <c r="C2202" s="28">
        <f t="shared" si="43"/>
        <v>6.5449284112853601E-3</v>
      </c>
      <c r="D2202" s="31">
        <v>3647.29</v>
      </c>
      <c r="E2202" s="28">
        <f t="shared" si="43"/>
        <v>-2.1226109775338642E-3</v>
      </c>
    </row>
    <row r="2203" spans="1:5">
      <c r="A2203" s="30">
        <v>44832</v>
      </c>
      <c r="B2203" s="28">
        <v>148.57075499999999</v>
      </c>
      <c r="C2203" s="28">
        <f t="shared" si="43"/>
        <v>-1.2732345138166588E-2</v>
      </c>
      <c r="D2203" s="31">
        <v>3719.04</v>
      </c>
      <c r="E2203" s="28">
        <f t="shared" si="43"/>
        <v>1.9481144387776417E-2</v>
      </c>
    </row>
    <row r="2204" spans="1:5">
      <c r="A2204" s="30">
        <v>44833</v>
      </c>
      <c r="B2204" s="28">
        <v>141.27311700000001</v>
      </c>
      <c r="C2204" s="28">
        <f t="shared" si="43"/>
        <v>-5.0366292603305975E-2</v>
      </c>
      <c r="D2204" s="31">
        <v>3640.47</v>
      </c>
      <c r="E2204" s="28">
        <f t="shared" si="43"/>
        <v>-2.1352776272162088E-2</v>
      </c>
    </row>
    <row r="2205" spans="1:5">
      <c r="A2205" s="30">
        <v>44834</v>
      </c>
      <c r="B2205" s="28">
        <v>137.02937299999999</v>
      </c>
      <c r="C2205" s="28">
        <f t="shared" si="43"/>
        <v>-3.049971250540524E-2</v>
      </c>
      <c r="D2205" s="31">
        <v>3585.62</v>
      </c>
      <c r="E2205" s="28">
        <f t="shared" si="43"/>
        <v>-1.5181392276394085E-2</v>
      </c>
    </row>
    <row r="2206" spans="1:5">
      <c r="A2206" s="30">
        <v>44837</v>
      </c>
      <c r="B2206" s="28">
        <v>141.243347</v>
      </c>
      <c r="C2206" s="28">
        <f t="shared" si="43"/>
        <v>3.0288963725042448E-2</v>
      </c>
      <c r="D2206" s="31">
        <v>3678.43</v>
      </c>
      <c r="E2206" s="28">
        <f t="shared" si="43"/>
        <v>2.5554628797407629E-2</v>
      </c>
    </row>
    <row r="2207" spans="1:5">
      <c r="A2207" s="30">
        <v>44838</v>
      </c>
      <c r="B2207" s="28">
        <v>144.86245700000001</v>
      </c>
      <c r="C2207" s="28">
        <f t="shared" si="43"/>
        <v>2.5300451794948404E-2</v>
      </c>
      <c r="D2207" s="31">
        <v>3790.93</v>
      </c>
      <c r="E2207" s="28">
        <f t="shared" si="43"/>
        <v>3.012534086530393E-2</v>
      </c>
    </row>
    <row r="2208" spans="1:5">
      <c r="A2208" s="30">
        <v>44839</v>
      </c>
      <c r="B2208" s="28">
        <v>145.159897</v>
      </c>
      <c r="C2208" s="28">
        <f t="shared" si="43"/>
        <v>2.0511529554937003E-3</v>
      </c>
      <c r="D2208" s="31">
        <v>3783.28</v>
      </c>
      <c r="E2208" s="28">
        <f t="shared" si="43"/>
        <v>-2.0200133350643033E-3</v>
      </c>
    </row>
    <row r="2209" spans="1:5">
      <c r="A2209" s="30">
        <v>44840</v>
      </c>
      <c r="B2209" s="28">
        <v>144.198105</v>
      </c>
      <c r="C2209" s="28">
        <f t="shared" si="43"/>
        <v>-6.6477894884365441E-3</v>
      </c>
      <c r="D2209" s="31">
        <v>3744.52</v>
      </c>
      <c r="E2209" s="28">
        <f t="shared" si="43"/>
        <v>-1.0297920383574249E-2</v>
      </c>
    </row>
    <row r="2210" spans="1:5">
      <c r="A2210" s="30">
        <v>44841</v>
      </c>
      <c r="B2210" s="28">
        <v>138.90335099999999</v>
      </c>
      <c r="C2210" s="28">
        <f t="shared" si="43"/>
        <v>-3.7409708555051727E-2</v>
      </c>
      <c r="D2210" s="31">
        <v>3639.66</v>
      </c>
      <c r="E2210" s="28">
        <f t="shared" si="43"/>
        <v>-2.8403167167490584E-2</v>
      </c>
    </row>
    <row r="2211" spans="1:5">
      <c r="A2211" s="30">
        <v>44844</v>
      </c>
      <c r="B2211" s="28">
        <v>139.23056</v>
      </c>
      <c r="C2211" s="28">
        <f t="shared" si="43"/>
        <v>2.352889295507741E-3</v>
      </c>
      <c r="D2211" s="31">
        <v>3612.39</v>
      </c>
      <c r="E2211" s="28">
        <f t="shared" si="43"/>
        <v>-7.5206675446196497E-3</v>
      </c>
    </row>
    <row r="2212" spans="1:5">
      <c r="A2212" s="30">
        <v>44845</v>
      </c>
      <c r="B2212" s="28">
        <v>137.80276499999999</v>
      </c>
      <c r="C2212" s="28">
        <f t="shared" si="43"/>
        <v>-1.0307840344475636E-2</v>
      </c>
      <c r="D2212" s="31">
        <v>3588.84</v>
      </c>
      <c r="E2212" s="28">
        <f t="shared" si="43"/>
        <v>-6.5405726393698588E-3</v>
      </c>
    </row>
    <row r="2213" spans="1:5">
      <c r="A2213" s="30">
        <v>44846</v>
      </c>
      <c r="B2213" s="28">
        <v>137.168182</v>
      </c>
      <c r="C2213" s="28">
        <f t="shared" si="43"/>
        <v>-4.615644914699726E-3</v>
      </c>
      <c r="D2213" s="31">
        <v>3577.03</v>
      </c>
      <c r="E2213" s="28">
        <f t="shared" si="43"/>
        <v>-3.2961833504644216E-3</v>
      </c>
    </row>
    <row r="2214" spans="1:5">
      <c r="A2214" s="30">
        <v>44847</v>
      </c>
      <c r="B2214" s="28">
        <v>141.77882399999999</v>
      </c>
      <c r="C2214" s="28">
        <f t="shared" si="43"/>
        <v>3.3060487076034435E-2</v>
      </c>
      <c r="D2214" s="31">
        <v>3669.91</v>
      </c>
      <c r="E2214" s="28">
        <f t="shared" si="43"/>
        <v>2.5634291446897169E-2</v>
      </c>
    </row>
    <row r="2215" spans="1:5">
      <c r="A2215" s="30">
        <v>44848</v>
      </c>
      <c r="B2215" s="28">
        <v>137.20784</v>
      </c>
      <c r="C2215" s="28">
        <f t="shared" si="43"/>
        <v>-3.2771409335296715E-2</v>
      </c>
      <c r="D2215" s="31">
        <v>3583.07</v>
      </c>
      <c r="E2215" s="28">
        <f t="shared" si="43"/>
        <v>-2.3947163771951822E-2</v>
      </c>
    </row>
    <row r="2216" spans="1:5">
      <c r="A2216" s="30">
        <v>44851</v>
      </c>
      <c r="B2216" s="28">
        <v>141.20370500000001</v>
      </c>
      <c r="C2216" s="28">
        <f t="shared" si="43"/>
        <v>2.8706707575329081E-2</v>
      </c>
      <c r="D2216" s="31">
        <v>3677.95</v>
      </c>
      <c r="E2216" s="28">
        <f t="shared" si="43"/>
        <v>2.613555691190645E-2</v>
      </c>
    </row>
    <row r="2217" spans="1:5">
      <c r="A2217" s="30">
        <v>44852</v>
      </c>
      <c r="B2217" s="28">
        <v>142.53237899999999</v>
      </c>
      <c r="C2217" s="28">
        <f t="shared" si="43"/>
        <v>9.3656308588773128E-3</v>
      </c>
      <c r="D2217" s="31">
        <v>3719.98</v>
      </c>
      <c r="E2217" s="28">
        <f t="shared" si="43"/>
        <v>1.1362760181543908E-2</v>
      </c>
    </row>
    <row r="2218" spans="1:5">
      <c r="A2218" s="30">
        <v>44853</v>
      </c>
      <c r="B2218" s="28">
        <v>142.64141799999999</v>
      </c>
      <c r="C2218" s="28">
        <f t="shared" si="43"/>
        <v>7.6471966541713737E-4</v>
      </c>
      <c r="D2218" s="31">
        <v>3695.16</v>
      </c>
      <c r="E2218" s="28">
        <f t="shared" si="43"/>
        <v>-6.694436704711702E-3</v>
      </c>
    </row>
    <row r="2219" spans="1:5">
      <c r="A2219" s="30">
        <v>44854</v>
      </c>
      <c r="B2219" s="28">
        <v>142.1754</v>
      </c>
      <c r="C2219" s="28">
        <f t="shared" si="43"/>
        <v>-3.2724079929066043E-3</v>
      </c>
      <c r="D2219" s="31">
        <v>3665.78</v>
      </c>
      <c r="E2219" s="28">
        <f t="shared" si="43"/>
        <v>-7.9827185160930587E-3</v>
      </c>
    </row>
    <row r="2220" spans="1:5">
      <c r="A2220" s="30">
        <v>44855</v>
      </c>
      <c r="B2220" s="28">
        <v>146.02255199999999</v>
      </c>
      <c r="C2220" s="28">
        <f t="shared" si="43"/>
        <v>2.6699568910101237E-2</v>
      </c>
      <c r="D2220" s="31">
        <v>3752.75</v>
      </c>
      <c r="E2220" s="28">
        <f t="shared" si="43"/>
        <v>2.3447767852436571E-2</v>
      </c>
    </row>
    <row r="2221" spans="1:5">
      <c r="A2221" s="30">
        <v>44858</v>
      </c>
      <c r="B2221" s="28">
        <v>148.18409700000001</v>
      </c>
      <c r="C2221" s="28">
        <f t="shared" si="43"/>
        <v>1.469432387864163E-2</v>
      </c>
      <c r="D2221" s="31">
        <v>3797.34</v>
      </c>
      <c r="E2221" s="28">
        <f t="shared" si="43"/>
        <v>1.1811917059798283E-2</v>
      </c>
    </row>
    <row r="2222" spans="1:5">
      <c r="A2222" s="30">
        <v>44859</v>
      </c>
      <c r="B2222" s="28">
        <v>151.049576</v>
      </c>
      <c r="C2222" s="28">
        <f t="shared" si="43"/>
        <v>1.9152701399400951E-2</v>
      </c>
      <c r="D2222" s="31">
        <v>3859.11</v>
      </c>
      <c r="E2222" s="28">
        <f t="shared" si="43"/>
        <v>1.6135765325269211E-2</v>
      </c>
    </row>
    <row r="2223" spans="1:5">
      <c r="A2223" s="30">
        <v>44860</v>
      </c>
      <c r="B2223" s="28">
        <v>148.08493000000001</v>
      </c>
      <c r="C2223" s="28">
        <f t="shared" si="43"/>
        <v>-1.9822140285453944E-2</v>
      </c>
      <c r="D2223" s="31">
        <v>3830.6</v>
      </c>
      <c r="E2223" s="28">
        <f t="shared" si="43"/>
        <v>-7.4151380567922306E-3</v>
      </c>
    </row>
    <row r="2224" spans="1:5">
      <c r="A2224" s="30">
        <v>44861</v>
      </c>
      <c r="B2224" s="28">
        <v>143.57345599999999</v>
      </c>
      <c r="C2224" s="28">
        <f t="shared" si="43"/>
        <v>-3.0939167794551744E-2</v>
      </c>
      <c r="D2224" s="31">
        <v>3807.3</v>
      </c>
      <c r="E2224" s="28">
        <f t="shared" si="43"/>
        <v>-6.1011723843323405E-3</v>
      </c>
    </row>
    <row r="2225" spans="1:5">
      <c r="A2225" s="30">
        <v>44862</v>
      </c>
      <c r="B2225" s="28">
        <v>154.420807</v>
      </c>
      <c r="C2225" s="28">
        <f t="shared" si="43"/>
        <v>7.2834596142816399E-2</v>
      </c>
      <c r="D2225" s="31">
        <v>3901.06</v>
      </c>
      <c r="E2225" s="28">
        <f t="shared" si="43"/>
        <v>2.4328034575769396E-2</v>
      </c>
    </row>
    <row r="2226" spans="1:5">
      <c r="A2226" s="30">
        <v>44865</v>
      </c>
      <c r="B2226" s="28">
        <v>152.041122</v>
      </c>
      <c r="C2226" s="28">
        <f t="shared" si="43"/>
        <v>-1.5530365143251864E-2</v>
      </c>
      <c r="D2226" s="31">
        <v>3871.98</v>
      </c>
      <c r="E2226" s="28">
        <f t="shared" si="43"/>
        <v>-7.4823069661265037E-3</v>
      </c>
    </row>
    <row r="2227" spans="1:5">
      <c r="A2227" s="30">
        <v>44866</v>
      </c>
      <c r="B2227" s="28">
        <v>149.373886</v>
      </c>
      <c r="C2227" s="28">
        <f t="shared" si="43"/>
        <v>-1.7698558813375991E-2</v>
      </c>
      <c r="D2227" s="31">
        <v>3856.1</v>
      </c>
      <c r="E2227" s="28">
        <f t="shared" si="43"/>
        <v>-4.1096940897468529E-3</v>
      </c>
    </row>
    <row r="2228" spans="1:5">
      <c r="A2228" s="30">
        <v>44867</v>
      </c>
      <c r="B2228" s="28">
        <v>143.801514</v>
      </c>
      <c r="C2228" s="28">
        <f t="shared" si="43"/>
        <v>-3.8018491174036322E-2</v>
      </c>
      <c r="D2228" s="31">
        <v>3759.69</v>
      </c>
      <c r="E2228" s="28">
        <f t="shared" si="43"/>
        <v>-2.5319802827619801E-2</v>
      </c>
    </row>
    <row r="2229" spans="1:5">
      <c r="A2229" s="30">
        <v>44868</v>
      </c>
      <c r="B2229" s="28">
        <v>137.70361299999999</v>
      </c>
      <c r="C2229" s="28">
        <f t="shared" si="43"/>
        <v>-4.3330330153966999E-2</v>
      </c>
      <c r="D2229" s="31">
        <v>3719.89</v>
      </c>
      <c r="E2229" s="28">
        <f t="shared" si="43"/>
        <v>-1.064240923898342E-2</v>
      </c>
    </row>
    <row r="2230" spans="1:5">
      <c r="A2230" s="30">
        <v>44869</v>
      </c>
      <c r="B2230" s="28">
        <v>137.43545499999999</v>
      </c>
      <c r="C2230" s="28">
        <f t="shared" si="43"/>
        <v>-1.9492548757753393E-3</v>
      </c>
      <c r="D2230" s="31">
        <v>3770.55</v>
      </c>
      <c r="E2230" s="28">
        <f t="shared" si="43"/>
        <v>1.3526781457993704E-2</v>
      </c>
    </row>
    <row r="2231" spans="1:5">
      <c r="A2231" s="30">
        <v>44872</v>
      </c>
      <c r="B2231" s="28">
        <v>137.971756</v>
      </c>
      <c r="C2231" s="28">
        <f t="shared" si="43"/>
        <v>3.8946088298560133E-3</v>
      </c>
      <c r="D2231" s="31">
        <v>3806.8</v>
      </c>
      <c r="E2231" s="28">
        <f t="shared" si="43"/>
        <v>9.5680618026735623E-3</v>
      </c>
    </row>
    <row r="2232" spans="1:5">
      <c r="A2232" s="30">
        <v>44873</v>
      </c>
      <c r="B2232" s="28">
        <v>138.54780600000001</v>
      </c>
      <c r="C2232" s="28">
        <f t="shared" si="43"/>
        <v>4.1664382016781279E-3</v>
      </c>
      <c r="D2232" s="31">
        <v>3828.11</v>
      </c>
      <c r="E2232" s="28">
        <f t="shared" si="43"/>
        <v>5.5822675939800961E-3</v>
      </c>
    </row>
    <row r="2233" spans="1:5">
      <c r="A2233" s="30">
        <v>44874</v>
      </c>
      <c r="B2233" s="28">
        <v>133.94940199999999</v>
      </c>
      <c r="C2233" s="28">
        <f t="shared" si="43"/>
        <v>-3.3753304116853539E-2</v>
      </c>
      <c r="D2233" s="31">
        <v>3748.57</v>
      </c>
      <c r="E2233" s="28">
        <f t="shared" si="43"/>
        <v>-2.0996774887089925E-2</v>
      </c>
    </row>
    <row r="2234" spans="1:5">
      <c r="A2234" s="30">
        <v>44875</v>
      </c>
      <c r="B2234" s="28">
        <v>145.867493</v>
      </c>
      <c r="C2234" s="28">
        <f t="shared" si="43"/>
        <v>8.5236495786192759E-2</v>
      </c>
      <c r="D2234" s="31">
        <v>3956.37</v>
      </c>
      <c r="E2234" s="28">
        <f t="shared" si="43"/>
        <v>5.3952504280963931E-2</v>
      </c>
    </row>
    <row r="2235" spans="1:5">
      <c r="A2235" s="30">
        <v>44876</v>
      </c>
      <c r="B2235" s="28">
        <v>148.678192</v>
      </c>
      <c r="C2235" s="28">
        <f t="shared" si="43"/>
        <v>1.9085557596275053E-2</v>
      </c>
      <c r="D2235" s="31">
        <v>3992.93</v>
      </c>
      <c r="E2235" s="28">
        <f t="shared" si="43"/>
        <v>9.1983590448269908E-3</v>
      </c>
    </row>
    <row r="2236" spans="1:5">
      <c r="A2236" s="30">
        <v>44879</v>
      </c>
      <c r="B2236" s="28">
        <v>147.26786799999999</v>
      </c>
      <c r="C2236" s="28">
        <f t="shared" si="43"/>
        <v>-9.531025188768338E-3</v>
      </c>
      <c r="D2236" s="31">
        <v>3957.25</v>
      </c>
      <c r="E2236" s="28">
        <f t="shared" si="43"/>
        <v>-8.9759576650217388E-3</v>
      </c>
    </row>
    <row r="2237" spans="1:5">
      <c r="A2237" s="30">
        <v>44880</v>
      </c>
      <c r="B2237" s="28">
        <v>149.01585399999999</v>
      </c>
      <c r="C2237" s="28">
        <f t="shared" si="43"/>
        <v>1.1799543147676946E-2</v>
      </c>
      <c r="D2237" s="31">
        <v>3991.73</v>
      </c>
      <c r="E2237" s="28">
        <f t="shared" si="43"/>
        <v>8.6753813075978112E-3</v>
      </c>
    </row>
    <row r="2238" spans="1:5">
      <c r="A2238" s="30">
        <v>44881</v>
      </c>
      <c r="B2238" s="28">
        <v>147.77436800000001</v>
      </c>
      <c r="C2238" s="28">
        <f t="shared" si="43"/>
        <v>-8.3661330404906573E-3</v>
      </c>
      <c r="D2238" s="31">
        <v>3958.79</v>
      </c>
      <c r="E2238" s="28">
        <f t="shared" si="43"/>
        <v>-8.2862978720850793E-3</v>
      </c>
    </row>
    <row r="2239" spans="1:5">
      <c r="A2239" s="30">
        <v>44882</v>
      </c>
      <c r="B2239" s="28">
        <v>149.69122300000001</v>
      </c>
      <c r="C2239" s="28">
        <f t="shared" si="43"/>
        <v>1.2888089183051798E-2</v>
      </c>
      <c r="D2239" s="31">
        <v>3946.56</v>
      </c>
      <c r="E2239" s="28">
        <f t="shared" si="43"/>
        <v>-3.094109623737159E-3</v>
      </c>
    </row>
    <row r="2240" spans="1:5">
      <c r="A2240" s="30">
        <v>44883</v>
      </c>
      <c r="B2240" s="28">
        <v>150.25732400000001</v>
      </c>
      <c r="C2240" s="28">
        <f t="shared" si="43"/>
        <v>3.7746585393705189E-3</v>
      </c>
      <c r="D2240" s="31">
        <v>3965.34</v>
      </c>
      <c r="E2240" s="28">
        <f t="shared" si="43"/>
        <v>4.7472883302355929E-3</v>
      </c>
    </row>
    <row r="2241" spans="1:5">
      <c r="A2241" s="30">
        <v>44886</v>
      </c>
      <c r="B2241" s="28">
        <v>146.99970999999999</v>
      </c>
      <c r="C2241" s="28">
        <f t="shared" si="43"/>
        <v>-2.1918703663915677E-2</v>
      </c>
      <c r="D2241" s="31">
        <v>3949.94</v>
      </c>
      <c r="E2241" s="28">
        <f t="shared" si="43"/>
        <v>-3.8912128014762935E-3</v>
      </c>
    </row>
    <row r="2242" spans="1:5">
      <c r="A2242" s="30">
        <v>44887</v>
      </c>
      <c r="B2242" s="28">
        <v>149.15490700000001</v>
      </c>
      <c r="C2242" s="28">
        <f t="shared" si="43"/>
        <v>1.4554796197234422E-2</v>
      </c>
      <c r="D2242" s="31">
        <v>4003.58</v>
      </c>
      <c r="E2242" s="28">
        <f t="shared" si="43"/>
        <v>1.3488571921957369E-2</v>
      </c>
    </row>
    <row r="2243" spans="1:5">
      <c r="A2243" s="30">
        <v>44888</v>
      </c>
      <c r="B2243" s="28">
        <v>150.038849</v>
      </c>
      <c r="C2243" s="28">
        <f t="shared" si="43"/>
        <v>5.9088437116964999E-3</v>
      </c>
      <c r="D2243" s="31">
        <v>4027.26</v>
      </c>
      <c r="E2243" s="28">
        <f t="shared" si="43"/>
        <v>5.8972831306427134E-3</v>
      </c>
    </row>
    <row r="2244" spans="1:5">
      <c r="A2244" s="30">
        <v>44890</v>
      </c>
      <c r="B2244" s="28">
        <v>147.09904499999999</v>
      </c>
      <c r="C2244" s="28">
        <f t="shared" si="43"/>
        <v>-1.9788118492477063E-2</v>
      </c>
      <c r="D2244" s="31">
        <v>4026.12</v>
      </c>
      <c r="E2244" s="28">
        <f t="shared" si="43"/>
        <v>-2.8311094412904197E-4</v>
      </c>
    </row>
    <row r="2245" spans="1:5">
      <c r="A2245" s="30">
        <v>44893</v>
      </c>
      <c r="B2245" s="28">
        <v>143.23558</v>
      </c>
      <c r="C2245" s="28">
        <f t="shared" ref="C2245:E2308" si="44">LN(B2245/B2244)</f>
        <v>-2.6615448052422382E-2</v>
      </c>
      <c r="D2245" s="31">
        <v>3963.94</v>
      </c>
      <c r="E2245" s="28">
        <f t="shared" si="44"/>
        <v>-1.5564652905563017E-2</v>
      </c>
    </row>
    <row r="2246" spans="1:5">
      <c r="A2246" s="30">
        <v>44894</v>
      </c>
      <c r="B2246" s="28">
        <v>140.20642100000001</v>
      </c>
      <c r="C2246" s="28">
        <f t="shared" si="44"/>
        <v>-2.1374914941178828E-2</v>
      </c>
      <c r="D2246" s="31">
        <v>3957.63</v>
      </c>
      <c r="E2246" s="28">
        <f t="shared" si="44"/>
        <v>-1.5931188727940442E-3</v>
      </c>
    </row>
    <row r="2247" spans="1:5">
      <c r="A2247" s="30">
        <v>44895</v>
      </c>
      <c r="B2247" s="28">
        <v>147.019577</v>
      </c>
      <c r="C2247" s="28">
        <f t="shared" si="44"/>
        <v>4.744998237170521E-2</v>
      </c>
      <c r="D2247" s="31">
        <v>4080.11</v>
      </c>
      <c r="E2247" s="28">
        <f t="shared" si="44"/>
        <v>3.047858758258928E-2</v>
      </c>
    </row>
    <row r="2248" spans="1:5">
      <c r="A2248" s="30">
        <v>44896</v>
      </c>
      <c r="B2248" s="28">
        <v>147.297684</v>
      </c>
      <c r="C2248" s="28">
        <f t="shared" si="44"/>
        <v>1.8898455484877791E-3</v>
      </c>
      <c r="D2248" s="31">
        <v>4076.57</v>
      </c>
      <c r="E2248" s="28">
        <f t="shared" si="44"/>
        <v>-8.6800027027179102E-4</v>
      </c>
    </row>
    <row r="2249" spans="1:5">
      <c r="A2249" s="30">
        <v>44897</v>
      </c>
      <c r="B2249" s="28">
        <v>146.80110199999999</v>
      </c>
      <c r="C2249" s="28">
        <f t="shared" si="44"/>
        <v>-3.3769773664918362E-3</v>
      </c>
      <c r="D2249" s="31">
        <v>4071.7</v>
      </c>
      <c r="E2249" s="28">
        <f t="shared" si="44"/>
        <v>-1.1953459028422096E-3</v>
      </c>
    </row>
    <row r="2250" spans="1:5">
      <c r="A2250" s="30">
        <v>44900</v>
      </c>
      <c r="B2250" s="28">
        <v>145.62913499999999</v>
      </c>
      <c r="C2250" s="28">
        <f t="shared" si="44"/>
        <v>-8.0154041976039508E-3</v>
      </c>
      <c r="D2250" s="31">
        <v>3998.84</v>
      </c>
      <c r="E2250" s="28">
        <f t="shared" si="44"/>
        <v>-1.8056283602075441E-2</v>
      </c>
    </row>
    <row r="2251" spans="1:5">
      <c r="A2251" s="30">
        <v>44901</v>
      </c>
      <c r="B2251" s="28">
        <v>141.93455499999999</v>
      </c>
      <c r="C2251" s="28">
        <f t="shared" si="44"/>
        <v>-2.5697147685014052E-2</v>
      </c>
      <c r="D2251" s="31">
        <v>3941.26</v>
      </c>
      <c r="E2251" s="28">
        <f t="shared" si="44"/>
        <v>-1.4503849921748772E-2</v>
      </c>
    </row>
    <row r="2252" spans="1:5">
      <c r="A2252" s="30">
        <v>44902</v>
      </c>
      <c r="B2252" s="28">
        <v>139.977982</v>
      </c>
      <c r="C2252" s="28">
        <f t="shared" si="44"/>
        <v>-1.3880932269325326E-2</v>
      </c>
      <c r="D2252" s="31">
        <v>3933.92</v>
      </c>
      <c r="E2252" s="28">
        <f t="shared" si="44"/>
        <v>-1.8640849162627044E-3</v>
      </c>
    </row>
    <row r="2253" spans="1:5">
      <c r="A2253" s="30">
        <v>44903</v>
      </c>
      <c r="B2253" s="28">
        <v>141.67628500000001</v>
      </c>
      <c r="C2253" s="28">
        <f t="shared" si="44"/>
        <v>1.2059633256968154E-2</v>
      </c>
      <c r="D2253" s="31">
        <v>3963.51</v>
      </c>
      <c r="E2253" s="28">
        <f t="shared" si="44"/>
        <v>7.493612090724109E-3</v>
      </c>
    </row>
    <row r="2254" spans="1:5">
      <c r="A2254" s="30">
        <v>44904</v>
      </c>
      <c r="B2254" s="28">
        <v>141.189651</v>
      </c>
      <c r="C2254" s="28">
        <f t="shared" si="44"/>
        <v>-3.4407428973223086E-3</v>
      </c>
      <c r="D2254" s="31">
        <v>3934.38</v>
      </c>
      <c r="E2254" s="28">
        <f t="shared" si="44"/>
        <v>-7.3766872148234497E-3</v>
      </c>
    </row>
    <row r="2255" spans="1:5">
      <c r="A2255" s="30">
        <v>44907</v>
      </c>
      <c r="B2255" s="28">
        <v>143.503738</v>
      </c>
      <c r="C2255" s="28">
        <f t="shared" si="44"/>
        <v>1.6257054468969426E-2</v>
      </c>
      <c r="D2255" s="31">
        <v>3990.56</v>
      </c>
      <c r="E2255" s="28">
        <f t="shared" si="44"/>
        <v>1.4178262831053962E-2</v>
      </c>
    </row>
    <row r="2256" spans="1:5">
      <c r="A2256" s="30">
        <v>44908</v>
      </c>
      <c r="B2256" s="28">
        <v>144.47706600000001</v>
      </c>
      <c r="C2256" s="28">
        <f t="shared" si="44"/>
        <v>6.7596985126089906E-3</v>
      </c>
      <c r="D2256" s="31">
        <v>4019.65</v>
      </c>
      <c r="E2256" s="28">
        <f t="shared" si="44"/>
        <v>7.2632622332616968E-3</v>
      </c>
    </row>
    <row r="2257" spans="1:5">
      <c r="A2257" s="30">
        <v>44909</v>
      </c>
      <c r="B2257" s="28">
        <v>142.23249799999999</v>
      </c>
      <c r="C2257" s="28">
        <f t="shared" si="44"/>
        <v>-1.5657753623584108E-2</v>
      </c>
      <c r="D2257" s="31">
        <v>3995.32</v>
      </c>
      <c r="E2257" s="28">
        <f t="shared" si="44"/>
        <v>-6.0711580284131088E-3</v>
      </c>
    </row>
    <row r="2258" spans="1:5">
      <c r="A2258" s="30">
        <v>44910</v>
      </c>
      <c r="B2258" s="28">
        <v>135.56826799999999</v>
      </c>
      <c r="C2258" s="28">
        <f t="shared" si="44"/>
        <v>-4.7987692208073439E-2</v>
      </c>
      <c r="D2258" s="31">
        <v>3895.75</v>
      </c>
      <c r="E2258" s="28">
        <f t="shared" si="44"/>
        <v>-2.5237460791963953E-2</v>
      </c>
    </row>
    <row r="2259" spans="1:5">
      <c r="A2259" s="30">
        <v>44911</v>
      </c>
      <c r="B2259" s="28">
        <v>133.59184300000001</v>
      </c>
      <c r="C2259" s="28">
        <f t="shared" si="44"/>
        <v>-1.4686132472483904E-2</v>
      </c>
      <c r="D2259" s="31">
        <v>3852.36</v>
      </c>
      <c r="E2259" s="28">
        <f t="shared" si="44"/>
        <v>-1.1200267830704025E-2</v>
      </c>
    </row>
    <row r="2260" spans="1:5">
      <c r="A2260" s="30">
        <v>44914</v>
      </c>
      <c r="B2260" s="28">
        <v>131.46646100000001</v>
      </c>
      <c r="C2260" s="28">
        <f t="shared" si="44"/>
        <v>-1.6037434191843399E-2</v>
      </c>
      <c r="D2260" s="31">
        <v>3817.66</v>
      </c>
      <c r="E2260" s="28">
        <f t="shared" si="44"/>
        <v>-9.0482780342915972E-3</v>
      </c>
    </row>
    <row r="2261" spans="1:5">
      <c r="A2261" s="30">
        <v>44915</v>
      </c>
      <c r="B2261" s="28">
        <v>131.396942</v>
      </c>
      <c r="C2261" s="28">
        <f t="shared" si="44"/>
        <v>-5.2893632835466109E-4</v>
      </c>
      <c r="D2261" s="31">
        <v>3821.62</v>
      </c>
      <c r="E2261" s="28">
        <f t="shared" si="44"/>
        <v>1.036747011419641E-3</v>
      </c>
    </row>
    <row r="2262" spans="1:5">
      <c r="A2262" s="30">
        <v>44916</v>
      </c>
      <c r="B2262" s="28">
        <v>134.52543600000001</v>
      </c>
      <c r="C2262" s="28">
        <f t="shared" si="44"/>
        <v>2.3530463074326768E-2</v>
      </c>
      <c r="D2262" s="31">
        <v>3878.44</v>
      </c>
      <c r="E2262" s="28">
        <f t="shared" si="44"/>
        <v>1.4758594440961796E-2</v>
      </c>
    </row>
    <row r="2263" spans="1:5">
      <c r="A2263" s="30">
        <v>44917</v>
      </c>
      <c r="B2263" s="28">
        <v>131.32742300000001</v>
      </c>
      <c r="C2263" s="28">
        <f t="shared" si="44"/>
        <v>-2.4059679324387944E-2</v>
      </c>
      <c r="D2263" s="31">
        <v>3822.39</v>
      </c>
      <c r="E2263" s="28">
        <f t="shared" si="44"/>
        <v>-1.4557129502374849E-2</v>
      </c>
    </row>
    <row r="2264" spans="1:5">
      <c r="A2264" s="30">
        <v>44918</v>
      </c>
      <c r="B2264" s="28">
        <v>130.959946</v>
      </c>
      <c r="C2264" s="28">
        <f t="shared" si="44"/>
        <v>-2.8020963559597903E-3</v>
      </c>
      <c r="D2264" s="31">
        <v>3844.82</v>
      </c>
      <c r="E2264" s="28">
        <f t="shared" si="44"/>
        <v>5.8509063889847814E-3</v>
      </c>
    </row>
    <row r="2265" spans="1:5">
      <c r="A2265" s="30">
        <v>44922</v>
      </c>
      <c r="B2265" s="28">
        <v>129.14244099999999</v>
      </c>
      <c r="C2265" s="28">
        <f t="shared" si="44"/>
        <v>-1.3975531736610121E-2</v>
      </c>
      <c r="D2265" s="31">
        <v>3829.25</v>
      </c>
      <c r="E2265" s="28">
        <f t="shared" si="44"/>
        <v>-4.0578262550561321E-3</v>
      </c>
    </row>
    <row r="2266" spans="1:5">
      <c r="A2266" s="30">
        <v>44923</v>
      </c>
      <c r="B2266" s="28">
        <v>125.179672</v>
      </c>
      <c r="C2266" s="28">
        <f t="shared" si="44"/>
        <v>-3.1165907720289376E-2</v>
      </c>
      <c r="D2266" s="31">
        <v>3783.22</v>
      </c>
      <c r="E2266" s="28">
        <f t="shared" si="44"/>
        <v>-1.209346269904926E-2</v>
      </c>
    </row>
    <row r="2267" spans="1:5">
      <c r="A2267" s="30">
        <v>44924</v>
      </c>
      <c r="B2267" s="28">
        <v>128.725311</v>
      </c>
      <c r="C2267" s="28">
        <f t="shared" si="44"/>
        <v>2.7930680666144788E-2</v>
      </c>
      <c r="D2267" s="31">
        <v>3849.28</v>
      </c>
      <c r="E2267" s="28">
        <f t="shared" si="44"/>
        <v>1.7310618960093668E-2</v>
      </c>
    </row>
    <row r="2268" spans="1:5">
      <c r="A2268" s="30">
        <v>44925</v>
      </c>
      <c r="B2268" s="28">
        <v>129.04312100000001</v>
      </c>
      <c r="C2268" s="28">
        <f t="shared" si="44"/>
        <v>2.4658578908977689E-3</v>
      </c>
      <c r="D2268" s="31">
        <v>3839.5</v>
      </c>
      <c r="E2268" s="28">
        <f t="shared" si="44"/>
        <v>-2.5439680351095257E-3</v>
      </c>
    </row>
    <row r="2269" spans="1:5">
      <c r="A2269" s="30">
        <v>44929</v>
      </c>
      <c r="B2269" s="28">
        <v>124.216301</v>
      </c>
      <c r="C2269" s="28">
        <f t="shared" si="44"/>
        <v>-3.812221094905939E-2</v>
      </c>
      <c r="D2269" s="31">
        <v>3824.14</v>
      </c>
      <c r="E2269" s="28">
        <f t="shared" si="44"/>
        <v>-4.0085443908070935E-3</v>
      </c>
    </row>
    <row r="2270" spans="1:5">
      <c r="A2270" s="30">
        <v>44930</v>
      </c>
      <c r="B2270" s="28">
        <v>125.49749799999999</v>
      </c>
      <c r="C2270" s="28">
        <f t="shared" si="44"/>
        <v>1.0261413243896258E-2</v>
      </c>
      <c r="D2270" s="31">
        <v>3852.97</v>
      </c>
      <c r="E2270" s="28">
        <f t="shared" si="44"/>
        <v>7.5106740753847724E-3</v>
      </c>
    </row>
    <row r="2271" spans="1:5">
      <c r="A2271" s="30">
        <v>44931</v>
      </c>
      <c r="B2271" s="28">
        <v>124.166641</v>
      </c>
      <c r="C2271" s="28">
        <f t="shared" si="44"/>
        <v>-1.0661279678054875E-2</v>
      </c>
      <c r="D2271" s="31">
        <v>3808.1</v>
      </c>
      <c r="E2271" s="28">
        <f t="shared" si="44"/>
        <v>-1.1713902384519219E-2</v>
      </c>
    </row>
    <row r="2272" spans="1:5">
      <c r="A2272" s="30">
        <v>44932</v>
      </c>
      <c r="B2272" s="28">
        <v>128.735229</v>
      </c>
      <c r="C2272" s="28">
        <f t="shared" si="44"/>
        <v>3.6133264308624048E-2</v>
      </c>
      <c r="D2272" s="31">
        <v>3895.08</v>
      </c>
      <c r="E2272" s="28">
        <f t="shared" si="44"/>
        <v>2.2583841176026541E-2</v>
      </c>
    </row>
    <row r="2273" spans="1:5">
      <c r="A2273" s="30">
        <v>44935</v>
      </c>
      <c r="B2273" s="28">
        <v>129.26159699999999</v>
      </c>
      <c r="C2273" s="28">
        <f t="shared" si="44"/>
        <v>4.080427953254512E-3</v>
      </c>
      <c r="D2273" s="31">
        <v>3892.09</v>
      </c>
      <c r="E2273" s="28">
        <f t="shared" si="44"/>
        <v>-7.6792985049440666E-4</v>
      </c>
    </row>
    <row r="2274" spans="1:5">
      <c r="A2274" s="30">
        <v>44936</v>
      </c>
      <c r="B2274" s="28">
        <v>129.83766199999999</v>
      </c>
      <c r="C2274" s="28">
        <f t="shared" si="44"/>
        <v>4.4466815646870064E-3</v>
      </c>
      <c r="D2274" s="31">
        <v>3919.25</v>
      </c>
      <c r="E2274" s="28">
        <f t="shared" si="44"/>
        <v>6.9540205524518915E-3</v>
      </c>
    </row>
    <row r="2275" spans="1:5">
      <c r="A2275" s="30">
        <v>44937</v>
      </c>
      <c r="B2275" s="28">
        <v>132.57882699999999</v>
      </c>
      <c r="C2275" s="28">
        <f t="shared" si="44"/>
        <v>2.0892473019157851E-2</v>
      </c>
      <c r="D2275" s="31">
        <v>3969.61</v>
      </c>
      <c r="E2275" s="28">
        <f t="shared" si="44"/>
        <v>1.2767544131228952E-2</v>
      </c>
    </row>
    <row r="2276" spans="1:5">
      <c r="A2276" s="30">
        <v>44938</v>
      </c>
      <c r="B2276" s="28">
        <v>132.49939000000001</v>
      </c>
      <c r="C2276" s="28">
        <f t="shared" si="44"/>
        <v>-5.9934764370254273E-4</v>
      </c>
      <c r="D2276" s="31">
        <v>3983.17</v>
      </c>
      <c r="E2276" s="28">
        <f t="shared" si="44"/>
        <v>3.4101315868827887E-3</v>
      </c>
    </row>
    <row r="2277" spans="1:5">
      <c r="A2277" s="30">
        <v>44939</v>
      </c>
      <c r="B2277" s="28">
        <v>133.84016399999999</v>
      </c>
      <c r="C2277" s="28">
        <f t="shared" si="44"/>
        <v>1.0068240379417089E-2</v>
      </c>
      <c r="D2277" s="31">
        <v>3999.09</v>
      </c>
      <c r="E2277" s="28">
        <f t="shared" si="44"/>
        <v>3.988850553225138E-3</v>
      </c>
    </row>
    <row r="2278" spans="1:5">
      <c r="A2278" s="30">
        <v>44943</v>
      </c>
      <c r="B2278" s="28">
        <v>135.0121</v>
      </c>
      <c r="C2278" s="28">
        <f t="shared" si="44"/>
        <v>8.7181220300520945E-3</v>
      </c>
      <c r="D2278" s="31">
        <v>3990.97</v>
      </c>
      <c r="E2278" s="28">
        <f t="shared" si="44"/>
        <v>-2.0325261125498277E-3</v>
      </c>
    </row>
    <row r="2279" spans="1:5">
      <c r="A2279" s="30">
        <v>44944</v>
      </c>
      <c r="B2279" s="28">
        <v>134.287094</v>
      </c>
      <c r="C2279" s="28">
        <f t="shared" si="44"/>
        <v>-5.3844034275245221E-3</v>
      </c>
      <c r="D2279" s="31">
        <v>3928.86</v>
      </c>
      <c r="E2279" s="28">
        <f t="shared" si="44"/>
        <v>-1.5685001660276407E-2</v>
      </c>
    </row>
    <row r="2280" spans="1:5">
      <c r="A2280" s="30">
        <v>44945</v>
      </c>
      <c r="B2280" s="28">
        <v>134.34667999999999</v>
      </c>
      <c r="C2280" s="28">
        <f t="shared" si="44"/>
        <v>4.4362255787834759E-4</v>
      </c>
      <c r="D2280" s="31">
        <v>3898.85</v>
      </c>
      <c r="E2280" s="28">
        <f t="shared" si="44"/>
        <v>-7.6676696075208299E-3</v>
      </c>
    </row>
    <row r="2281" spans="1:5">
      <c r="A2281" s="30">
        <v>44946</v>
      </c>
      <c r="B2281" s="28">
        <v>136.928909</v>
      </c>
      <c r="C2281" s="28">
        <f t="shared" si="44"/>
        <v>1.90382555558101E-2</v>
      </c>
      <c r="D2281" s="31">
        <v>3972.61</v>
      </c>
      <c r="E2281" s="28">
        <f t="shared" si="44"/>
        <v>1.8741671559172491E-2</v>
      </c>
    </row>
    <row r="2282" spans="1:5">
      <c r="A2282" s="30">
        <v>44949</v>
      </c>
      <c r="B2282" s="28">
        <v>140.14681999999999</v>
      </c>
      <c r="C2282" s="28">
        <f t="shared" si="44"/>
        <v>2.3228708640621279E-2</v>
      </c>
      <c r="D2282" s="31">
        <v>4019.81</v>
      </c>
      <c r="E2282" s="28">
        <f t="shared" si="44"/>
        <v>1.1811328415709267E-2</v>
      </c>
    </row>
    <row r="2283" spans="1:5">
      <c r="A2283" s="30">
        <v>44950</v>
      </c>
      <c r="B2283" s="28">
        <v>141.55711400000001</v>
      </c>
      <c r="C2283" s="28">
        <f t="shared" si="44"/>
        <v>1.0012680776089423E-2</v>
      </c>
      <c r="D2283" s="31">
        <v>4016.95</v>
      </c>
      <c r="E2283" s="28">
        <f t="shared" si="44"/>
        <v>-7.1172963252109358E-4</v>
      </c>
    </row>
    <row r="2284" spans="1:5">
      <c r="A2284" s="30">
        <v>44951</v>
      </c>
      <c r="B2284" s="28">
        <v>140.89170799999999</v>
      </c>
      <c r="C2284" s="28">
        <f t="shared" si="44"/>
        <v>-4.7117012299508947E-3</v>
      </c>
      <c r="D2284" s="31">
        <v>4016.22</v>
      </c>
      <c r="E2284" s="28">
        <f t="shared" si="44"/>
        <v>-1.8174643434897735E-4</v>
      </c>
    </row>
    <row r="2285" spans="1:5">
      <c r="A2285" s="30">
        <v>44952</v>
      </c>
      <c r="B2285" s="28">
        <v>142.97737100000001</v>
      </c>
      <c r="C2285" s="28">
        <f t="shared" si="44"/>
        <v>1.4694806058152593E-2</v>
      </c>
      <c r="D2285" s="31">
        <v>4060.43</v>
      </c>
      <c r="E2285" s="28">
        <f t="shared" si="44"/>
        <v>1.0947717569977039E-2</v>
      </c>
    </row>
    <row r="2286" spans="1:5">
      <c r="A2286" s="30">
        <v>44953</v>
      </c>
      <c r="B2286" s="28">
        <v>144.93391399999999</v>
      </c>
      <c r="C2286" s="28">
        <f t="shared" si="44"/>
        <v>1.3591500028020939E-2</v>
      </c>
      <c r="D2286" s="31">
        <v>4070.56</v>
      </c>
      <c r="E2286" s="28">
        <f t="shared" si="44"/>
        <v>2.4917027916841637E-3</v>
      </c>
    </row>
    <row r="2287" spans="1:5">
      <c r="A2287" s="30">
        <v>44956</v>
      </c>
      <c r="B2287" s="28">
        <v>142.02392599999999</v>
      </c>
      <c r="C2287" s="28">
        <f t="shared" si="44"/>
        <v>-2.028233664499822E-2</v>
      </c>
      <c r="D2287" s="31">
        <v>4017.77</v>
      </c>
      <c r="E2287" s="28">
        <f t="shared" si="44"/>
        <v>-1.3053559781991077E-2</v>
      </c>
    </row>
    <row r="2288" spans="1:5">
      <c r="A2288" s="30">
        <v>44957</v>
      </c>
      <c r="B2288" s="28">
        <v>143.30509900000001</v>
      </c>
      <c r="C2288" s="28">
        <f t="shared" si="44"/>
        <v>8.9803805290639954E-3</v>
      </c>
      <c r="D2288" s="31">
        <v>4076.6</v>
      </c>
      <c r="E2288" s="28">
        <f t="shared" si="44"/>
        <v>1.4536285322318165E-2</v>
      </c>
    </row>
    <row r="2289" spans="1:5">
      <c r="A2289" s="30">
        <v>44958</v>
      </c>
      <c r="B2289" s="28">
        <v>144.43731700000001</v>
      </c>
      <c r="C2289" s="28">
        <f t="shared" si="44"/>
        <v>7.8697041550804033E-3</v>
      </c>
      <c r="D2289" s="31">
        <v>4119.21</v>
      </c>
      <c r="E2289" s="28">
        <f t="shared" si="44"/>
        <v>1.0398089735210484E-2</v>
      </c>
    </row>
    <row r="2290" spans="1:5">
      <c r="A2290" s="30">
        <v>44959</v>
      </c>
      <c r="B2290" s="28">
        <v>149.790558</v>
      </c>
      <c r="C2290" s="28">
        <f t="shared" si="44"/>
        <v>3.6392417339183102E-2</v>
      </c>
      <c r="D2290" s="31">
        <v>4179.76</v>
      </c>
      <c r="E2290" s="28">
        <f t="shared" si="44"/>
        <v>1.4592431217642185E-2</v>
      </c>
    </row>
    <row r="2291" spans="1:5">
      <c r="A2291" s="30">
        <v>44960</v>
      </c>
      <c r="B2291" s="28">
        <v>153.445404</v>
      </c>
      <c r="C2291" s="28">
        <f t="shared" si="44"/>
        <v>2.4106791104066046E-2</v>
      </c>
      <c r="D2291" s="31">
        <v>4136.4799999999996</v>
      </c>
      <c r="E2291" s="28">
        <f t="shared" si="44"/>
        <v>-1.0408643989373002E-2</v>
      </c>
    </row>
    <row r="2292" spans="1:5">
      <c r="A2292" s="30">
        <v>44963</v>
      </c>
      <c r="B2292" s="28">
        <v>150.694321</v>
      </c>
      <c r="C2292" s="28">
        <f t="shared" si="44"/>
        <v>-1.8091408711348705E-2</v>
      </c>
      <c r="D2292" s="31">
        <v>4111.08</v>
      </c>
      <c r="E2292" s="28">
        <f t="shared" si="44"/>
        <v>-6.1594169191690872E-3</v>
      </c>
    </row>
    <row r="2293" spans="1:5">
      <c r="A2293" s="30">
        <v>44964</v>
      </c>
      <c r="B2293" s="28">
        <v>153.59437600000001</v>
      </c>
      <c r="C2293" s="28">
        <f t="shared" si="44"/>
        <v>1.9061784678200421E-2</v>
      </c>
      <c r="D2293" s="31">
        <v>4164</v>
      </c>
      <c r="E2293" s="28">
        <f t="shared" si="44"/>
        <v>1.2790383040919152E-2</v>
      </c>
    </row>
    <row r="2294" spans="1:5">
      <c r="A2294" s="30">
        <v>44965</v>
      </c>
      <c r="B2294" s="28">
        <v>150.88301100000001</v>
      </c>
      <c r="C2294" s="28">
        <f t="shared" si="44"/>
        <v>-1.78104305172565E-2</v>
      </c>
      <c r="D2294" s="31">
        <v>4117.8599999999997</v>
      </c>
      <c r="E2294" s="28">
        <f t="shared" si="44"/>
        <v>-1.1142539811002886E-2</v>
      </c>
    </row>
    <row r="2295" spans="1:5">
      <c r="A2295" s="30">
        <v>44966</v>
      </c>
      <c r="B2295" s="28">
        <v>149.84016399999999</v>
      </c>
      <c r="C2295" s="28">
        <f t="shared" si="44"/>
        <v>-6.935622306616881E-3</v>
      </c>
      <c r="D2295" s="31">
        <v>4081.5</v>
      </c>
      <c r="E2295" s="28">
        <f t="shared" si="44"/>
        <v>-8.869043032445954E-3</v>
      </c>
    </row>
    <row r="2296" spans="1:5">
      <c r="A2296" s="30">
        <v>44967</v>
      </c>
      <c r="B2296" s="28">
        <v>150.20822100000001</v>
      </c>
      <c r="C2296" s="28">
        <f t="shared" si="44"/>
        <v>2.4533188845814232E-3</v>
      </c>
      <c r="D2296" s="31">
        <v>4090.46</v>
      </c>
      <c r="E2296" s="28">
        <f t="shared" si="44"/>
        <v>2.1928652588764841E-3</v>
      </c>
    </row>
    <row r="2297" spans="1:5">
      <c r="A2297" s="30">
        <v>44970</v>
      </c>
      <c r="B2297" s="28">
        <v>153.03315699999999</v>
      </c>
      <c r="C2297" s="28">
        <f t="shared" si="44"/>
        <v>1.8632138811375841E-2</v>
      </c>
      <c r="D2297" s="31">
        <v>4137.29</v>
      </c>
      <c r="E2297" s="28">
        <f t="shared" si="44"/>
        <v>1.1383550959928976E-2</v>
      </c>
    </row>
    <row r="2298" spans="1:5">
      <c r="A2298" s="30">
        <v>44971</v>
      </c>
      <c r="B2298" s="28">
        <v>152.38661200000001</v>
      </c>
      <c r="C2298" s="28">
        <f t="shared" si="44"/>
        <v>-4.23381870731612E-3</v>
      </c>
      <c r="D2298" s="31">
        <v>4136.13</v>
      </c>
      <c r="E2298" s="28">
        <f t="shared" si="44"/>
        <v>-2.8041608128225108E-4</v>
      </c>
    </row>
    <row r="2299" spans="1:5">
      <c r="A2299" s="30">
        <v>44972</v>
      </c>
      <c r="B2299" s="28">
        <v>154.50529499999999</v>
      </c>
      <c r="C2299" s="28">
        <f t="shared" si="44"/>
        <v>1.3807575970518115E-2</v>
      </c>
      <c r="D2299" s="31">
        <v>4147.6000000000004</v>
      </c>
      <c r="E2299" s="28">
        <f t="shared" si="44"/>
        <v>2.7692856551893739E-3</v>
      </c>
    </row>
    <row r="2300" spans="1:5">
      <c r="A2300" s="30">
        <v>44973</v>
      </c>
      <c r="B2300" s="28">
        <v>152.89389</v>
      </c>
      <c r="C2300" s="28">
        <f t="shared" si="44"/>
        <v>-1.0484216217295565E-2</v>
      </c>
      <c r="D2300" s="31">
        <v>4090.41</v>
      </c>
      <c r="E2300" s="28">
        <f t="shared" si="44"/>
        <v>-1.3884644172642286E-2</v>
      </c>
    </row>
    <row r="2301" spans="1:5">
      <c r="A2301" s="30">
        <v>44974</v>
      </c>
      <c r="B2301" s="28">
        <v>151.74006700000001</v>
      </c>
      <c r="C2301" s="28">
        <f t="shared" si="44"/>
        <v>-7.575179923319502E-3</v>
      </c>
      <c r="D2301" s="31">
        <v>4079.09</v>
      </c>
      <c r="E2301" s="28">
        <f t="shared" si="44"/>
        <v>-2.7712852059047503E-3</v>
      </c>
    </row>
    <row r="2302" spans="1:5">
      <c r="A2302" s="30">
        <v>44978</v>
      </c>
      <c r="B2302" s="28">
        <v>147.691666</v>
      </c>
      <c r="C2302" s="28">
        <f t="shared" si="44"/>
        <v>-2.7042208695393817E-2</v>
      </c>
      <c r="D2302" s="31">
        <v>3997.34</v>
      </c>
      <c r="E2302" s="28">
        <f t="shared" si="44"/>
        <v>-2.0244784414123935E-2</v>
      </c>
    </row>
    <row r="2303" spans="1:5">
      <c r="A2303" s="30">
        <v>44979</v>
      </c>
      <c r="B2303" s="28">
        <v>148.11937</v>
      </c>
      <c r="C2303" s="28">
        <f t="shared" si="44"/>
        <v>2.8917399690528579E-3</v>
      </c>
      <c r="D2303" s="31">
        <v>3991.05</v>
      </c>
      <c r="E2303" s="28">
        <f t="shared" si="44"/>
        <v>-1.5747857327715093E-3</v>
      </c>
    </row>
    <row r="2304" spans="1:5">
      <c r="A2304" s="30">
        <v>44980</v>
      </c>
      <c r="B2304" s="28">
        <v>148.60678100000001</v>
      </c>
      <c r="C2304" s="28">
        <f t="shared" si="44"/>
        <v>3.2852610849462317E-3</v>
      </c>
      <c r="D2304" s="31">
        <v>4012.32</v>
      </c>
      <c r="E2304" s="28">
        <f t="shared" si="44"/>
        <v>5.3152734602749932E-3</v>
      </c>
    </row>
    <row r="2305" spans="1:5">
      <c r="A2305" s="30">
        <v>44981</v>
      </c>
      <c r="B2305" s="28">
        <v>145.931061</v>
      </c>
      <c r="C2305" s="28">
        <f t="shared" si="44"/>
        <v>-1.81694385507645E-2</v>
      </c>
      <c r="D2305" s="31">
        <v>3970.04</v>
      </c>
      <c r="E2305" s="28">
        <f t="shared" si="44"/>
        <v>-1.0593457421727142E-2</v>
      </c>
    </row>
    <row r="2306" spans="1:5">
      <c r="A2306" s="30">
        <v>44984</v>
      </c>
      <c r="B2306" s="28">
        <v>147.13464400000001</v>
      </c>
      <c r="C2306" s="28">
        <f t="shared" si="44"/>
        <v>8.2137878723670572E-3</v>
      </c>
      <c r="D2306" s="31">
        <v>3982.24</v>
      </c>
      <c r="E2306" s="28">
        <f t="shared" si="44"/>
        <v>3.0683048311681872E-3</v>
      </c>
    </row>
    <row r="2307" spans="1:5">
      <c r="A2307" s="30">
        <v>44985</v>
      </c>
      <c r="B2307" s="28">
        <v>146.62735000000001</v>
      </c>
      <c r="C2307" s="28">
        <f t="shared" si="44"/>
        <v>-3.4537790091052423E-3</v>
      </c>
      <c r="D2307" s="31">
        <v>3970.15</v>
      </c>
      <c r="E2307" s="28">
        <f t="shared" si="44"/>
        <v>-3.0405976856194583E-3</v>
      </c>
    </row>
    <row r="2308" spans="1:5">
      <c r="A2308" s="30">
        <v>44986</v>
      </c>
      <c r="B2308" s="28">
        <v>144.53851299999999</v>
      </c>
      <c r="C2308" s="28">
        <f t="shared" si="44"/>
        <v>-1.4348336133369255E-2</v>
      </c>
      <c r="D2308" s="31">
        <v>3951.39</v>
      </c>
      <c r="E2308" s="28">
        <f t="shared" si="44"/>
        <v>-4.7364616152703798E-3</v>
      </c>
    </row>
    <row r="2309" spans="1:5">
      <c r="A2309" s="30">
        <v>44987</v>
      </c>
      <c r="B2309" s="28">
        <v>145.13533000000001</v>
      </c>
      <c r="C2309" s="28">
        <f t="shared" ref="C2309:E2372" si="45">LN(B2309/B2308)</f>
        <v>4.1206195097926949E-3</v>
      </c>
      <c r="D2309" s="31">
        <v>3981.35</v>
      </c>
      <c r="E2309" s="28">
        <f t="shared" si="45"/>
        <v>7.5535420169248321E-3</v>
      </c>
    </row>
    <row r="2310" spans="1:5">
      <c r="A2310" s="30">
        <v>44988</v>
      </c>
      <c r="B2310" s="28">
        <v>150.22813400000001</v>
      </c>
      <c r="C2310" s="28">
        <f t="shared" si="45"/>
        <v>3.4488414540550433E-2</v>
      </c>
      <c r="D2310" s="31">
        <v>4045.64</v>
      </c>
      <c r="E2310" s="28">
        <f t="shared" si="45"/>
        <v>1.6018800257414187E-2</v>
      </c>
    </row>
    <row r="2311" spans="1:5">
      <c r="A2311" s="30">
        <v>44991</v>
      </c>
      <c r="B2311" s="28">
        <v>153.01327499999999</v>
      </c>
      <c r="C2311" s="28">
        <f t="shared" si="45"/>
        <v>1.8369650291823074E-2</v>
      </c>
      <c r="D2311" s="31">
        <v>4048.42</v>
      </c>
      <c r="E2311" s="28">
        <f t="shared" si="45"/>
        <v>6.8692352399550452E-4</v>
      </c>
    </row>
    <row r="2312" spans="1:5">
      <c r="A2312" s="30">
        <v>44992</v>
      </c>
      <c r="B2312" s="28">
        <v>150.79512</v>
      </c>
      <c r="C2312" s="28">
        <f t="shared" si="45"/>
        <v>-1.4602588026948372E-2</v>
      </c>
      <c r="D2312" s="31">
        <v>3986.37</v>
      </c>
      <c r="E2312" s="28">
        <f t="shared" si="45"/>
        <v>-1.5445639173959797E-2</v>
      </c>
    </row>
    <row r="2313" spans="1:5">
      <c r="A2313" s="30">
        <v>44993</v>
      </c>
      <c r="B2313" s="28">
        <v>152.05836500000001</v>
      </c>
      <c r="C2313" s="28">
        <f t="shared" si="45"/>
        <v>8.3423331003491773E-3</v>
      </c>
      <c r="D2313" s="31">
        <v>3992.01</v>
      </c>
      <c r="E2313" s="28">
        <f t="shared" si="45"/>
        <v>1.4138210863556078E-3</v>
      </c>
    </row>
    <row r="2314" spans="1:5">
      <c r="A2314" s="30">
        <v>44994</v>
      </c>
      <c r="B2314" s="28">
        <v>149.79046600000001</v>
      </c>
      <c r="C2314" s="28">
        <f t="shared" si="45"/>
        <v>-1.5027003209993034E-2</v>
      </c>
      <c r="D2314" s="31">
        <v>3918.32</v>
      </c>
      <c r="E2314" s="28">
        <f t="shared" si="45"/>
        <v>-1.8631872945282475E-2</v>
      </c>
    </row>
    <row r="2315" spans="1:5">
      <c r="A2315" s="30">
        <v>44995</v>
      </c>
      <c r="B2315" s="28">
        <v>147.71154799999999</v>
      </c>
      <c r="C2315" s="28">
        <f t="shared" si="45"/>
        <v>-1.3976052205708462E-2</v>
      </c>
      <c r="D2315" s="31">
        <v>3861.59</v>
      </c>
      <c r="E2315" s="28">
        <f t="shared" si="45"/>
        <v>-1.4583974750190179E-2</v>
      </c>
    </row>
    <row r="2316" spans="1:5">
      <c r="A2316" s="30">
        <v>44998</v>
      </c>
      <c r="B2316" s="28">
        <v>149.67111199999999</v>
      </c>
      <c r="C2316" s="28">
        <f t="shared" si="45"/>
        <v>1.3178928199904464E-2</v>
      </c>
      <c r="D2316" s="31">
        <v>3855.76</v>
      </c>
      <c r="E2316" s="28">
        <f t="shared" si="45"/>
        <v>-1.5108816132590817E-3</v>
      </c>
    </row>
    <row r="2317" spans="1:5">
      <c r="A2317" s="30">
        <v>44999</v>
      </c>
      <c r="B2317" s="28">
        <v>151.77984599999999</v>
      </c>
      <c r="C2317" s="28">
        <f t="shared" si="45"/>
        <v>1.3990789156736953E-2</v>
      </c>
      <c r="D2317" s="31">
        <v>3919.29</v>
      </c>
      <c r="E2317" s="28">
        <f t="shared" si="45"/>
        <v>1.6342380801371525E-2</v>
      </c>
    </row>
    <row r="2318" spans="1:5">
      <c r="A2318" s="30">
        <v>45000</v>
      </c>
      <c r="B2318" s="28">
        <v>152.177719</v>
      </c>
      <c r="C2318" s="28">
        <f t="shared" si="45"/>
        <v>2.6179524582058307E-3</v>
      </c>
      <c r="D2318" s="31">
        <v>3891.93</v>
      </c>
      <c r="E2318" s="28">
        <f t="shared" si="45"/>
        <v>-7.0053363982352087E-3</v>
      </c>
    </row>
    <row r="2319" spans="1:5">
      <c r="A2319" s="30">
        <v>45001</v>
      </c>
      <c r="B2319" s="28">
        <v>155.022537</v>
      </c>
      <c r="C2319" s="28">
        <f t="shared" si="45"/>
        <v>1.8521464542666479E-2</v>
      </c>
      <c r="D2319" s="31">
        <v>3960.28</v>
      </c>
      <c r="E2319" s="28">
        <f t="shared" si="45"/>
        <v>1.7409551286964531E-2</v>
      </c>
    </row>
    <row r="2320" spans="1:5">
      <c r="A2320" s="30">
        <v>45002</v>
      </c>
      <c r="B2320" s="28">
        <v>154.17704800000001</v>
      </c>
      <c r="C2320" s="28">
        <f t="shared" si="45"/>
        <v>-5.4689019540693495E-3</v>
      </c>
      <c r="D2320" s="31">
        <v>3916.64</v>
      </c>
      <c r="E2320" s="28">
        <f t="shared" si="45"/>
        <v>-1.1080586449227313E-2</v>
      </c>
    </row>
    <row r="2321" spans="1:5">
      <c r="A2321" s="30">
        <v>45005</v>
      </c>
      <c r="B2321" s="28">
        <v>156.564301</v>
      </c>
      <c r="C2321" s="28">
        <f t="shared" si="45"/>
        <v>1.5365190210612237E-2</v>
      </c>
      <c r="D2321" s="31">
        <v>3951.57</v>
      </c>
      <c r="E2321" s="28">
        <f t="shared" si="45"/>
        <v>8.878824909597214E-3</v>
      </c>
    </row>
    <row r="2322" spans="1:5">
      <c r="A2322" s="30">
        <v>45006</v>
      </c>
      <c r="B2322" s="28">
        <v>158.434326</v>
      </c>
      <c r="C2322" s="28">
        <f t="shared" si="45"/>
        <v>1.1873365842507711E-2</v>
      </c>
      <c r="D2322" s="31">
        <v>4002.87</v>
      </c>
      <c r="E2322" s="28">
        <f t="shared" si="45"/>
        <v>1.289863554198477E-2</v>
      </c>
    </row>
    <row r="2323" spans="1:5">
      <c r="A2323" s="30">
        <v>45007</v>
      </c>
      <c r="B2323" s="28">
        <v>156.99202</v>
      </c>
      <c r="C2323" s="28">
        <f t="shared" si="45"/>
        <v>-9.1451844176992283E-3</v>
      </c>
      <c r="D2323" s="31">
        <v>3936.97</v>
      </c>
      <c r="E2323" s="28">
        <f t="shared" si="45"/>
        <v>-1.6600211922495948E-2</v>
      </c>
    </row>
    <row r="2324" spans="1:5">
      <c r="A2324" s="30">
        <v>45008</v>
      </c>
      <c r="B2324" s="28">
        <v>158.08618200000001</v>
      </c>
      <c r="C2324" s="28">
        <f t="shared" si="45"/>
        <v>6.9453639852416144E-3</v>
      </c>
      <c r="D2324" s="31">
        <v>3948.72</v>
      </c>
      <c r="E2324" s="28">
        <f t="shared" si="45"/>
        <v>2.9800838470393862E-3</v>
      </c>
    </row>
    <row r="2325" spans="1:5">
      <c r="A2325" s="30">
        <v>45009</v>
      </c>
      <c r="B2325" s="28">
        <v>159.39917</v>
      </c>
      <c r="C2325" s="28">
        <f t="shared" si="45"/>
        <v>8.2712192999251522E-3</v>
      </c>
      <c r="D2325" s="31">
        <v>3970.99</v>
      </c>
      <c r="E2325" s="28">
        <f t="shared" si="45"/>
        <v>5.623958124210314E-3</v>
      </c>
    </row>
    <row r="2326" spans="1:5">
      <c r="A2326" s="30">
        <v>45012</v>
      </c>
      <c r="B2326" s="28">
        <v>157.43962099999999</v>
      </c>
      <c r="C2326" s="28">
        <f t="shared" si="45"/>
        <v>-1.2369533281423699E-2</v>
      </c>
      <c r="D2326" s="31">
        <v>3977.53</v>
      </c>
      <c r="E2326" s="28">
        <f t="shared" si="45"/>
        <v>1.6455897389303137E-3</v>
      </c>
    </row>
    <row r="2327" spans="1:5">
      <c r="A2327" s="30">
        <v>45013</v>
      </c>
      <c r="B2327" s="28">
        <v>156.81295800000001</v>
      </c>
      <c r="C2327" s="28">
        <f t="shared" si="45"/>
        <v>-3.9882812268776336E-3</v>
      </c>
      <c r="D2327" s="31">
        <v>3971.27</v>
      </c>
      <c r="E2327" s="28">
        <f t="shared" si="45"/>
        <v>-1.5750808409301009E-3</v>
      </c>
    </row>
    <row r="2328" spans="1:5">
      <c r="A2328" s="30">
        <v>45014</v>
      </c>
      <c r="B2328" s="28">
        <v>159.91641200000001</v>
      </c>
      <c r="C2328" s="28">
        <f t="shared" si="45"/>
        <v>1.9597508914431884E-2</v>
      </c>
      <c r="D2328" s="31">
        <v>4027.81</v>
      </c>
      <c r="E2328" s="28">
        <f t="shared" si="45"/>
        <v>1.4136861145886559E-2</v>
      </c>
    </row>
    <row r="2329" spans="1:5">
      <c r="A2329" s="30">
        <v>45015</v>
      </c>
      <c r="B2329" s="28">
        <v>161.49797100000001</v>
      </c>
      <c r="C2329" s="28">
        <f t="shared" si="45"/>
        <v>9.8413253939579858E-3</v>
      </c>
      <c r="D2329" s="31">
        <v>4050.83</v>
      </c>
      <c r="E2329" s="28">
        <f t="shared" si="45"/>
        <v>5.698994460609173E-3</v>
      </c>
    </row>
    <row r="2330" spans="1:5">
      <c r="A2330" s="30">
        <v>45016</v>
      </c>
      <c r="B2330" s="28">
        <v>164.024475</v>
      </c>
      <c r="C2330" s="28">
        <f t="shared" si="45"/>
        <v>1.5523075377925109E-2</v>
      </c>
      <c r="D2330" s="31">
        <v>4109.3100000000004</v>
      </c>
      <c r="E2330" s="28">
        <f t="shared" si="45"/>
        <v>1.4333332809426856E-2</v>
      </c>
    </row>
    <row r="2331" spans="1:5">
      <c r="A2331" s="30">
        <v>45019</v>
      </c>
      <c r="B2331" s="28">
        <v>165.28774999999999</v>
      </c>
      <c r="C2331" s="28">
        <f t="shared" si="45"/>
        <v>7.6722399036448473E-3</v>
      </c>
      <c r="D2331" s="31">
        <v>4124.51</v>
      </c>
      <c r="E2331" s="28">
        <f t="shared" si="45"/>
        <v>3.6920936495169121E-3</v>
      </c>
    </row>
    <row r="2332" spans="1:5">
      <c r="A2332" s="30">
        <v>45020</v>
      </c>
      <c r="B2332" s="28">
        <v>164.75062600000001</v>
      </c>
      <c r="C2332" s="28">
        <f t="shared" si="45"/>
        <v>-3.2549213259600971E-3</v>
      </c>
      <c r="D2332" s="31">
        <v>4100.6000000000004</v>
      </c>
      <c r="E2332" s="28">
        <f t="shared" si="45"/>
        <v>-5.8139203852082119E-3</v>
      </c>
    </row>
    <row r="2333" spans="1:5">
      <c r="A2333" s="30">
        <v>45021</v>
      </c>
      <c r="B2333" s="28">
        <v>162.890533</v>
      </c>
      <c r="C2333" s="28">
        <f t="shared" si="45"/>
        <v>-1.1354574560899862E-2</v>
      </c>
      <c r="D2333" s="31">
        <v>4090.38</v>
      </c>
      <c r="E2333" s="28">
        <f t="shared" si="45"/>
        <v>-2.4954291924703361E-3</v>
      </c>
    </row>
    <row r="2334" spans="1:5">
      <c r="A2334" s="30">
        <v>45022</v>
      </c>
      <c r="B2334" s="28">
        <v>163.78578200000001</v>
      </c>
      <c r="C2334" s="28">
        <f t="shared" si="45"/>
        <v>5.4809681637375341E-3</v>
      </c>
      <c r="D2334" s="31">
        <v>4105.0200000000004</v>
      </c>
      <c r="E2334" s="28">
        <f t="shared" si="45"/>
        <v>3.5727397253701647E-3</v>
      </c>
    </row>
    <row r="2335" spans="1:5">
      <c r="A2335" s="30">
        <v>45026</v>
      </c>
      <c r="B2335" s="28">
        <v>161.169724</v>
      </c>
      <c r="C2335" s="28">
        <f t="shared" si="45"/>
        <v>-1.61013706190931E-2</v>
      </c>
      <c r="D2335" s="31">
        <v>4109.1099999999997</v>
      </c>
      <c r="E2335" s="28">
        <f t="shared" si="45"/>
        <v>9.9584504701190541E-4</v>
      </c>
    </row>
    <row r="2336" spans="1:5">
      <c r="A2336" s="30">
        <v>45027</v>
      </c>
      <c r="B2336" s="28">
        <v>159.946259</v>
      </c>
      <c r="C2336" s="28">
        <f t="shared" si="45"/>
        <v>-7.6201184925665114E-3</v>
      </c>
      <c r="D2336" s="31">
        <v>4108.9399999999996</v>
      </c>
      <c r="E2336" s="28">
        <f t="shared" si="45"/>
        <v>-4.1372345026909729E-5</v>
      </c>
    </row>
    <row r="2337" spans="1:5">
      <c r="A2337" s="30">
        <v>45028</v>
      </c>
      <c r="B2337" s="28">
        <v>159.25</v>
      </c>
      <c r="C2337" s="28">
        <f t="shared" si="45"/>
        <v>-4.3625831108130087E-3</v>
      </c>
      <c r="D2337" s="31">
        <v>4091.95</v>
      </c>
      <c r="E2337" s="28">
        <f t="shared" si="45"/>
        <v>-4.1434586507983449E-3</v>
      </c>
    </row>
    <row r="2338" spans="1:5">
      <c r="A2338" s="30">
        <v>45029</v>
      </c>
      <c r="B2338" s="28">
        <v>164.680969</v>
      </c>
      <c r="C2338" s="28">
        <f t="shared" si="45"/>
        <v>3.3534786571055825E-2</v>
      </c>
      <c r="D2338" s="31">
        <v>4146.22</v>
      </c>
      <c r="E2338" s="28">
        <f t="shared" si="45"/>
        <v>1.3175446748330008E-2</v>
      </c>
    </row>
    <row r="2339" spans="1:5">
      <c r="A2339" s="30">
        <v>45030</v>
      </c>
      <c r="B2339" s="28">
        <v>164.33284</v>
      </c>
      <c r="C2339" s="28">
        <f t="shared" si="45"/>
        <v>-2.1161976816517834E-3</v>
      </c>
      <c r="D2339" s="31">
        <v>4137.6400000000003</v>
      </c>
      <c r="E2339" s="28">
        <f t="shared" si="45"/>
        <v>-2.0714988104920951E-3</v>
      </c>
    </row>
    <row r="2340" spans="1:5">
      <c r="A2340" s="30">
        <v>45033</v>
      </c>
      <c r="B2340" s="28">
        <v>164.35273699999999</v>
      </c>
      <c r="C2340" s="28">
        <f t="shared" si="45"/>
        <v>1.2107011330332089E-4</v>
      </c>
      <c r="D2340" s="31">
        <v>4151.32</v>
      </c>
      <c r="E2340" s="28">
        <f t="shared" si="45"/>
        <v>3.3007789687629755E-3</v>
      </c>
    </row>
    <row r="2341" spans="1:5">
      <c r="A2341" s="30">
        <v>45034</v>
      </c>
      <c r="B2341" s="28">
        <v>165.58616599999999</v>
      </c>
      <c r="C2341" s="28">
        <f t="shared" si="45"/>
        <v>7.4767463592889365E-3</v>
      </c>
      <c r="D2341" s="31">
        <v>4154.87</v>
      </c>
      <c r="E2341" s="28">
        <f t="shared" si="45"/>
        <v>8.547842551524592E-4</v>
      </c>
    </row>
    <row r="2342" spans="1:5">
      <c r="A2342" s="30">
        <v>45035</v>
      </c>
      <c r="B2342" s="28">
        <v>166.73999000000001</v>
      </c>
      <c r="C2342" s="28">
        <f t="shared" si="45"/>
        <v>6.9439531945847651E-3</v>
      </c>
      <c r="D2342" s="31">
        <v>4154.5200000000004</v>
      </c>
      <c r="E2342" s="28">
        <f t="shared" si="45"/>
        <v>-8.4242044291161936E-5</v>
      </c>
    </row>
    <row r="2343" spans="1:5">
      <c r="A2343" s="30">
        <v>45036</v>
      </c>
      <c r="B2343" s="28">
        <v>165.76521299999999</v>
      </c>
      <c r="C2343" s="28">
        <f t="shared" si="45"/>
        <v>-5.8632453492362948E-3</v>
      </c>
      <c r="D2343" s="31">
        <v>4129.79</v>
      </c>
      <c r="E2343" s="28">
        <f t="shared" si="45"/>
        <v>-5.9703399458197028E-3</v>
      </c>
    </row>
    <row r="2344" spans="1:5">
      <c r="A2344" s="30">
        <v>45037</v>
      </c>
      <c r="B2344" s="28">
        <v>164.14385999999999</v>
      </c>
      <c r="C2344" s="28">
        <f t="shared" si="45"/>
        <v>-9.8291692242648398E-3</v>
      </c>
      <c r="D2344" s="31">
        <v>4133.5200000000004</v>
      </c>
      <c r="E2344" s="28">
        <f t="shared" si="45"/>
        <v>9.0278599092536804E-4</v>
      </c>
    </row>
    <row r="2345" spans="1:5">
      <c r="A2345" s="30">
        <v>45040</v>
      </c>
      <c r="B2345" s="28">
        <v>164.45220900000001</v>
      </c>
      <c r="C2345" s="28">
        <f t="shared" si="45"/>
        <v>1.8767667637980389E-3</v>
      </c>
      <c r="D2345" s="31">
        <v>4137.04</v>
      </c>
      <c r="E2345" s="28">
        <f t="shared" si="45"/>
        <v>8.5121206122392508E-4</v>
      </c>
    </row>
    <row r="2346" spans="1:5">
      <c r="A2346" s="30">
        <v>45041</v>
      </c>
      <c r="B2346" s="28">
        <v>162.90048200000001</v>
      </c>
      <c r="C2346" s="28">
        <f t="shared" si="45"/>
        <v>-9.4805307250562729E-3</v>
      </c>
      <c r="D2346" s="31">
        <v>4071.63</v>
      </c>
      <c r="E2346" s="28">
        <f t="shared" si="45"/>
        <v>-1.5937145594967939E-2</v>
      </c>
    </row>
    <row r="2347" spans="1:5">
      <c r="A2347" s="30">
        <v>45042</v>
      </c>
      <c r="B2347" s="28">
        <v>162.890533</v>
      </c>
      <c r="C2347" s="28">
        <f t="shared" si="45"/>
        <v>-6.1075963086940866E-5</v>
      </c>
      <c r="D2347" s="31">
        <v>4055.99</v>
      </c>
      <c r="E2347" s="28">
        <f t="shared" si="45"/>
        <v>-3.8486098771117832E-3</v>
      </c>
    </row>
    <row r="2348" spans="1:5">
      <c r="A2348" s="30">
        <v>45043</v>
      </c>
      <c r="B2348" s="28">
        <v>167.51585399999999</v>
      </c>
      <c r="C2348" s="28">
        <f t="shared" si="45"/>
        <v>2.7999599021282715E-2</v>
      </c>
      <c r="D2348" s="31">
        <v>4135.3500000000004</v>
      </c>
      <c r="E2348" s="28">
        <f t="shared" si="45"/>
        <v>1.9377167380002121E-2</v>
      </c>
    </row>
    <row r="2349" spans="1:5">
      <c r="A2349" s="30">
        <v>45044</v>
      </c>
      <c r="B2349" s="28">
        <v>168.77911399999999</v>
      </c>
      <c r="C2349" s="28">
        <f t="shared" si="45"/>
        <v>7.5128447466145977E-3</v>
      </c>
      <c r="D2349" s="31">
        <v>4169.4799999999996</v>
      </c>
      <c r="E2349" s="28">
        <f t="shared" si="45"/>
        <v>8.2193596125703667E-3</v>
      </c>
    </row>
    <row r="2350" spans="1:5">
      <c r="A2350" s="30">
        <v>45047</v>
      </c>
      <c r="B2350" s="28">
        <v>168.68959000000001</v>
      </c>
      <c r="C2350" s="28">
        <f t="shared" si="45"/>
        <v>-5.3056180344379059E-4</v>
      </c>
      <c r="D2350" s="31">
        <v>4167.87</v>
      </c>
      <c r="E2350" s="28">
        <f t="shared" si="45"/>
        <v>-3.8621384972729493E-4</v>
      </c>
    </row>
    <row r="2351" spans="1:5">
      <c r="A2351" s="30">
        <v>45048</v>
      </c>
      <c r="B2351" s="28">
        <v>167.64515700000001</v>
      </c>
      <c r="C2351" s="28">
        <f t="shared" si="45"/>
        <v>-6.2106955438533317E-3</v>
      </c>
      <c r="D2351" s="31">
        <v>4119.58</v>
      </c>
      <c r="E2351" s="28">
        <f t="shared" si="45"/>
        <v>-1.1653897528004022E-2</v>
      </c>
    </row>
    <row r="2352" spans="1:5">
      <c r="A2352" s="30">
        <v>45049</v>
      </c>
      <c r="B2352" s="28">
        <v>166.56094400000001</v>
      </c>
      <c r="C2352" s="28">
        <f t="shared" si="45"/>
        <v>-6.4883124537285326E-3</v>
      </c>
      <c r="D2352" s="31">
        <v>4090.75</v>
      </c>
      <c r="E2352" s="28">
        <f t="shared" si="45"/>
        <v>-7.0228890905811598E-3</v>
      </c>
    </row>
    <row r="2353" spans="1:5">
      <c r="A2353" s="30">
        <v>45050</v>
      </c>
      <c r="B2353" s="28">
        <v>164.90974399999999</v>
      </c>
      <c r="C2353" s="28">
        <f t="shared" si="45"/>
        <v>-9.9629543002999425E-3</v>
      </c>
      <c r="D2353" s="31">
        <v>4061.22</v>
      </c>
      <c r="E2353" s="28">
        <f t="shared" si="45"/>
        <v>-7.2449062412514361E-3</v>
      </c>
    </row>
    <row r="2354" spans="1:5">
      <c r="A2354" s="30">
        <v>45051</v>
      </c>
      <c r="B2354" s="28">
        <v>172.64845299999999</v>
      </c>
      <c r="C2354" s="28">
        <f t="shared" si="45"/>
        <v>4.5859145293922349E-2</v>
      </c>
      <c r="D2354" s="31">
        <v>4136.25</v>
      </c>
      <c r="E2354" s="28">
        <f t="shared" si="45"/>
        <v>1.8306159168068423E-2</v>
      </c>
    </row>
    <row r="2355" spans="1:5">
      <c r="A2355" s="30">
        <v>45054</v>
      </c>
      <c r="B2355" s="28">
        <v>172.57882699999999</v>
      </c>
      <c r="C2355" s="28">
        <f t="shared" si="45"/>
        <v>-4.0336326227770173E-4</v>
      </c>
      <c r="D2355" s="31">
        <v>4138.12</v>
      </c>
      <c r="E2355" s="28">
        <f t="shared" si="45"/>
        <v>4.5199816586328297E-4</v>
      </c>
    </row>
    <row r="2356" spans="1:5">
      <c r="A2356" s="30">
        <v>45055</v>
      </c>
      <c r="B2356" s="28">
        <v>170.85801699999999</v>
      </c>
      <c r="C2356" s="28">
        <f t="shared" si="45"/>
        <v>-1.0021198546312334E-2</v>
      </c>
      <c r="D2356" s="31">
        <v>4119.17</v>
      </c>
      <c r="E2356" s="28">
        <f t="shared" si="45"/>
        <v>-4.5898916638410408E-3</v>
      </c>
    </row>
    <row r="2357" spans="1:5">
      <c r="A2357" s="30">
        <v>45056</v>
      </c>
      <c r="B2357" s="28">
        <v>172.63850400000001</v>
      </c>
      <c r="C2357" s="28">
        <f t="shared" si="45"/>
        <v>1.0366934378413208E-2</v>
      </c>
      <c r="D2357" s="31">
        <v>4137.6400000000003</v>
      </c>
      <c r="E2357" s="28">
        <f t="shared" si="45"/>
        <v>4.4738902330266894E-3</v>
      </c>
    </row>
    <row r="2358" spans="1:5">
      <c r="A2358" s="30">
        <v>45057</v>
      </c>
      <c r="B2358" s="28">
        <v>172.82749899999999</v>
      </c>
      <c r="C2358" s="28">
        <f t="shared" si="45"/>
        <v>1.0941453990460951E-3</v>
      </c>
      <c r="D2358" s="31">
        <v>4130.62</v>
      </c>
      <c r="E2358" s="28">
        <f t="shared" si="45"/>
        <v>-1.6980602174566785E-3</v>
      </c>
    </row>
    <row r="2359" spans="1:5">
      <c r="A2359" s="30">
        <v>45058</v>
      </c>
      <c r="B2359" s="28">
        <v>171.89118999999999</v>
      </c>
      <c r="C2359" s="28">
        <f t="shared" si="45"/>
        <v>-5.4323210920979356E-3</v>
      </c>
      <c r="D2359" s="31">
        <v>4124.08</v>
      </c>
      <c r="E2359" s="28">
        <f t="shared" si="45"/>
        <v>-1.5845521626198357E-3</v>
      </c>
    </row>
    <row r="2360" spans="1:5">
      <c r="A2360" s="30">
        <v>45061</v>
      </c>
      <c r="B2360" s="28">
        <v>171.39317299999999</v>
      </c>
      <c r="C2360" s="28">
        <f t="shared" si="45"/>
        <v>-2.9014857829955895E-3</v>
      </c>
      <c r="D2360" s="31">
        <v>4136.28</v>
      </c>
      <c r="E2360" s="28">
        <f t="shared" si="45"/>
        <v>2.9538685652344835E-3</v>
      </c>
    </row>
    <row r="2361" spans="1:5">
      <c r="A2361" s="30">
        <v>45062</v>
      </c>
      <c r="B2361" s="28">
        <v>171.39317299999999</v>
      </c>
      <c r="C2361" s="28">
        <f t="shared" si="45"/>
        <v>0</v>
      </c>
      <c r="D2361" s="31">
        <v>4109.8999999999996</v>
      </c>
      <c r="E2361" s="28">
        <f t="shared" si="45"/>
        <v>-6.398135861993161E-3</v>
      </c>
    </row>
    <row r="2362" spans="1:5">
      <c r="A2362" s="30">
        <v>45063</v>
      </c>
      <c r="B2362" s="28">
        <v>172.010727</v>
      </c>
      <c r="C2362" s="28">
        <f t="shared" si="45"/>
        <v>3.596666582549785E-3</v>
      </c>
      <c r="D2362" s="31">
        <v>4158.7700000000004</v>
      </c>
      <c r="E2362" s="28">
        <f t="shared" si="45"/>
        <v>1.1820660164447881E-2</v>
      </c>
    </row>
    <row r="2363" spans="1:5">
      <c r="A2363" s="30">
        <v>45064</v>
      </c>
      <c r="B2363" s="28">
        <v>174.361435</v>
      </c>
      <c r="C2363" s="28">
        <f t="shared" si="45"/>
        <v>1.3573516287144009E-2</v>
      </c>
      <c r="D2363" s="31">
        <v>4198.05</v>
      </c>
      <c r="E2363" s="28">
        <f t="shared" si="45"/>
        <v>9.4007742847056677E-3</v>
      </c>
    </row>
    <row r="2364" spans="1:5">
      <c r="A2364" s="30">
        <v>45065</v>
      </c>
      <c r="B2364" s="28">
        <v>174.471024</v>
      </c>
      <c r="C2364" s="28">
        <f t="shared" si="45"/>
        <v>6.2831884349010252E-4</v>
      </c>
      <c r="D2364" s="31">
        <v>4191.9799999999996</v>
      </c>
      <c r="E2364" s="28">
        <f t="shared" si="45"/>
        <v>-1.4469557460591439E-3</v>
      </c>
    </row>
    <row r="2365" spans="1:5">
      <c r="A2365" s="30">
        <v>45068</v>
      </c>
      <c r="B2365" s="28">
        <v>173.51478599999999</v>
      </c>
      <c r="C2365" s="28">
        <f t="shared" si="45"/>
        <v>-5.4958586207101909E-3</v>
      </c>
      <c r="D2365" s="31">
        <v>4192.63</v>
      </c>
      <c r="E2365" s="28">
        <f t="shared" si="45"/>
        <v>1.550459714410593E-4</v>
      </c>
    </row>
    <row r="2366" spans="1:5">
      <c r="A2366" s="30">
        <v>45069</v>
      </c>
      <c r="B2366" s="28">
        <v>170.885178</v>
      </c>
      <c r="C2366" s="28">
        <f t="shared" si="45"/>
        <v>-1.5270960378724333E-2</v>
      </c>
      <c r="D2366" s="31">
        <v>4145.58</v>
      </c>
      <c r="E2366" s="28">
        <f t="shared" si="45"/>
        <v>-1.1285515564489972E-2</v>
      </c>
    </row>
    <row r="2367" spans="1:5">
      <c r="A2367" s="30">
        <v>45070</v>
      </c>
      <c r="B2367" s="28">
        <v>171.164063</v>
      </c>
      <c r="C2367" s="28">
        <f t="shared" si="45"/>
        <v>1.6306720107493906E-3</v>
      </c>
      <c r="D2367" s="31">
        <v>4115.24</v>
      </c>
      <c r="E2367" s="28">
        <f t="shared" si="45"/>
        <v>-7.3455507858671458E-3</v>
      </c>
    </row>
    <row r="2368" spans="1:5">
      <c r="A2368" s="30">
        <v>45071</v>
      </c>
      <c r="B2368" s="28">
        <v>172.30954</v>
      </c>
      <c r="C2368" s="28">
        <f t="shared" si="45"/>
        <v>6.6699812545651061E-3</v>
      </c>
      <c r="D2368" s="31">
        <v>4151.28</v>
      </c>
      <c r="E2368" s="28">
        <f t="shared" si="45"/>
        <v>8.719564785563249E-3</v>
      </c>
    </row>
    <row r="2369" spans="1:5">
      <c r="A2369" s="30">
        <v>45072</v>
      </c>
      <c r="B2369" s="28">
        <v>174.73994400000001</v>
      </c>
      <c r="C2369" s="28">
        <f t="shared" si="45"/>
        <v>1.4006323849419999E-2</v>
      </c>
      <c r="D2369" s="31">
        <v>4205.45</v>
      </c>
      <c r="E2369" s="28">
        <f t="shared" si="45"/>
        <v>1.296458273531355E-2</v>
      </c>
    </row>
    <row r="2370" spans="1:5">
      <c r="A2370" s="30">
        <v>45076</v>
      </c>
      <c r="B2370" s="28">
        <v>176.602585</v>
      </c>
      <c r="C2370" s="28">
        <f t="shared" si="45"/>
        <v>1.0603091268063811E-2</v>
      </c>
      <c r="D2370" s="31">
        <v>4205.5200000000004</v>
      </c>
      <c r="E2370" s="28">
        <f t="shared" si="45"/>
        <v>1.6644929182328236E-5</v>
      </c>
    </row>
    <row r="2371" spans="1:5">
      <c r="A2371" s="30">
        <v>45077</v>
      </c>
      <c r="B2371" s="28">
        <v>176.552795</v>
      </c>
      <c r="C2371" s="28">
        <f t="shared" si="45"/>
        <v>-2.8197220345271211E-4</v>
      </c>
      <c r="D2371" s="31">
        <v>4179.83</v>
      </c>
      <c r="E2371" s="28">
        <f t="shared" si="45"/>
        <v>-6.1273722329718457E-3</v>
      </c>
    </row>
    <row r="2372" spans="1:5">
      <c r="A2372" s="30">
        <v>45078</v>
      </c>
      <c r="B2372" s="28">
        <v>179.381607</v>
      </c>
      <c r="C2372" s="28">
        <f t="shared" si="45"/>
        <v>1.5895465826655793E-2</v>
      </c>
      <c r="D2372" s="31">
        <v>4221.0200000000004</v>
      </c>
      <c r="E2372" s="28">
        <f t="shared" si="45"/>
        <v>9.806229149665344E-3</v>
      </c>
    </row>
    <row r="2373" spans="1:5">
      <c r="A2373" s="30">
        <v>45079</v>
      </c>
      <c r="B2373" s="28">
        <v>180.23822000000001</v>
      </c>
      <c r="C2373" s="28">
        <f t="shared" ref="C2373:E2436" si="46">LN(B2373/B2372)</f>
        <v>4.7640010689350924E-3</v>
      </c>
      <c r="D2373" s="31">
        <v>4282.37</v>
      </c>
      <c r="E2373" s="28">
        <f t="shared" si="46"/>
        <v>1.442978965214366E-2</v>
      </c>
    </row>
    <row r="2374" spans="1:5">
      <c r="A2374" s="30">
        <v>45082</v>
      </c>
      <c r="B2374" s="28">
        <v>178.87361100000001</v>
      </c>
      <c r="C2374" s="28">
        <f t="shared" si="46"/>
        <v>-7.599947706658939E-3</v>
      </c>
      <c r="D2374" s="31">
        <v>4273.79</v>
      </c>
      <c r="E2374" s="28">
        <f t="shared" si="46"/>
        <v>-2.0055732655681105E-3</v>
      </c>
    </row>
    <row r="2375" spans="1:5">
      <c r="A2375" s="30">
        <v>45083</v>
      </c>
      <c r="B2375" s="28">
        <v>178.50508099999999</v>
      </c>
      <c r="C2375" s="28">
        <f t="shared" si="46"/>
        <v>-2.0624068467361813E-3</v>
      </c>
      <c r="D2375" s="31">
        <v>4283.8500000000004</v>
      </c>
      <c r="E2375" s="28">
        <f t="shared" si="46"/>
        <v>2.3511165774900327E-3</v>
      </c>
    </row>
    <row r="2376" spans="1:5">
      <c r="A2376" s="30">
        <v>45084</v>
      </c>
      <c r="B2376" s="28">
        <v>177.120544</v>
      </c>
      <c r="C2376" s="28">
        <f t="shared" si="46"/>
        <v>-7.7865254809109654E-3</v>
      </c>
      <c r="D2376" s="31">
        <v>4267.5200000000004</v>
      </c>
      <c r="E2376" s="28">
        <f t="shared" si="46"/>
        <v>-3.8192757067673886E-3</v>
      </c>
    </row>
    <row r="2377" spans="1:5">
      <c r="A2377" s="30">
        <v>45085</v>
      </c>
      <c r="B2377" s="28">
        <v>179.85972599999999</v>
      </c>
      <c r="C2377" s="28">
        <f t="shared" si="46"/>
        <v>1.5346706758457486E-2</v>
      </c>
      <c r="D2377" s="31">
        <v>4293.93</v>
      </c>
      <c r="E2377" s="28">
        <f t="shared" si="46"/>
        <v>6.16953524709693E-3</v>
      </c>
    </row>
    <row r="2378" spans="1:5">
      <c r="A2378" s="30">
        <v>45086</v>
      </c>
      <c r="B2378" s="28">
        <v>180.248199</v>
      </c>
      <c r="C2378" s="28">
        <f t="shared" si="46"/>
        <v>2.1575373588021071E-3</v>
      </c>
      <c r="D2378" s="31">
        <v>4298.8599999999997</v>
      </c>
      <c r="E2378" s="28">
        <f t="shared" si="46"/>
        <v>1.1474737636884458E-3</v>
      </c>
    </row>
    <row r="2379" spans="1:5">
      <c r="A2379" s="30">
        <v>45089</v>
      </c>
      <c r="B2379" s="28">
        <v>183.06706199999999</v>
      </c>
      <c r="C2379" s="28">
        <f t="shared" si="46"/>
        <v>1.5517760291192052E-2</v>
      </c>
      <c r="D2379" s="31">
        <v>4338.93</v>
      </c>
      <c r="E2379" s="28">
        <f t="shared" si="46"/>
        <v>9.2779026656844323E-3</v>
      </c>
    </row>
    <row r="2380" spans="1:5">
      <c r="A2380" s="30">
        <v>45090</v>
      </c>
      <c r="B2380" s="28">
        <v>182.588943</v>
      </c>
      <c r="C2380" s="28">
        <f t="shared" si="46"/>
        <v>-2.6151315222320386E-3</v>
      </c>
      <c r="D2380" s="31">
        <v>4369.01</v>
      </c>
      <c r="E2380" s="28">
        <f t="shared" si="46"/>
        <v>6.9086648833658285E-3</v>
      </c>
    </row>
    <row r="2381" spans="1:5">
      <c r="A2381" s="30">
        <v>45091</v>
      </c>
      <c r="B2381" s="28">
        <v>183.22642500000001</v>
      </c>
      <c r="C2381" s="28">
        <f t="shared" si="46"/>
        <v>3.4852698987576257E-3</v>
      </c>
      <c r="D2381" s="31">
        <v>4372.59</v>
      </c>
      <c r="E2381" s="28">
        <f t="shared" si="46"/>
        <v>8.1907206921961594E-4</v>
      </c>
    </row>
    <row r="2382" spans="1:5">
      <c r="A2382" s="30">
        <v>45092</v>
      </c>
      <c r="B2382" s="28">
        <v>185.278336</v>
      </c>
      <c r="C2382" s="28">
        <f t="shared" si="46"/>
        <v>1.1136530237939578E-2</v>
      </c>
      <c r="D2382" s="31">
        <v>4425.84</v>
      </c>
      <c r="E2382" s="28">
        <f t="shared" si="46"/>
        <v>1.2104580063652602E-2</v>
      </c>
    </row>
    <row r="2383" spans="1:5">
      <c r="A2383" s="30">
        <v>45093</v>
      </c>
      <c r="B2383" s="28">
        <v>184.192612</v>
      </c>
      <c r="C2383" s="28">
        <f t="shared" si="46"/>
        <v>-5.8771989033709641E-3</v>
      </c>
      <c r="D2383" s="31">
        <v>4409.59</v>
      </c>
      <c r="E2383" s="28">
        <f t="shared" si="46"/>
        <v>-3.6783763376504303E-3</v>
      </c>
    </row>
    <row r="2384" spans="1:5">
      <c r="A2384" s="30">
        <v>45097</v>
      </c>
      <c r="B2384" s="28">
        <v>184.28225699999999</v>
      </c>
      <c r="C2384" s="28">
        <f t="shared" si="46"/>
        <v>4.8657322010538408E-4</v>
      </c>
      <c r="D2384" s="31">
        <v>4388.71</v>
      </c>
      <c r="E2384" s="28">
        <f t="shared" si="46"/>
        <v>-4.7463803686906532E-3</v>
      </c>
    </row>
    <row r="2385" spans="1:5">
      <c r="A2385" s="30">
        <v>45098</v>
      </c>
      <c r="B2385" s="28">
        <v>183.23640399999999</v>
      </c>
      <c r="C2385" s="28">
        <f t="shared" si="46"/>
        <v>-5.6914433694582626E-3</v>
      </c>
      <c r="D2385" s="31">
        <v>4365.6899999999996</v>
      </c>
      <c r="E2385" s="28">
        <f t="shared" si="46"/>
        <v>-5.2590818461865788E-3</v>
      </c>
    </row>
    <row r="2386" spans="1:5">
      <c r="A2386" s="30">
        <v>45099</v>
      </c>
      <c r="B2386" s="28">
        <v>186.26442</v>
      </c>
      <c r="C2386" s="28">
        <f t="shared" si="46"/>
        <v>1.6390132791618911E-2</v>
      </c>
      <c r="D2386" s="31">
        <v>4381.8900000000003</v>
      </c>
      <c r="E2386" s="28">
        <f t="shared" si="46"/>
        <v>3.7038857650539521E-3</v>
      </c>
    </row>
    <row r="2387" spans="1:5">
      <c r="A2387" s="30">
        <v>45100</v>
      </c>
      <c r="B2387" s="28">
        <v>185.94567900000001</v>
      </c>
      <c r="C2387" s="28">
        <f t="shared" si="46"/>
        <v>-1.7126944097997324E-3</v>
      </c>
      <c r="D2387" s="31">
        <v>4348.33</v>
      </c>
      <c r="E2387" s="28">
        <f t="shared" si="46"/>
        <v>-7.688274822307147E-3</v>
      </c>
    </row>
    <row r="2388" spans="1:5">
      <c r="A2388" s="30">
        <v>45103</v>
      </c>
      <c r="B2388" s="28">
        <v>184.541245</v>
      </c>
      <c r="C2388" s="28">
        <f t="shared" si="46"/>
        <v>-7.5815940391943549E-3</v>
      </c>
      <c r="D2388" s="31">
        <v>4328.82</v>
      </c>
      <c r="E2388" s="28">
        <f t="shared" si="46"/>
        <v>-4.4968757892660969E-3</v>
      </c>
    </row>
    <row r="2389" spans="1:5">
      <c r="A2389" s="30">
        <v>45104</v>
      </c>
      <c r="B2389" s="28">
        <v>187.32025100000001</v>
      </c>
      <c r="C2389" s="28">
        <f t="shared" si="46"/>
        <v>1.4946735634989853E-2</v>
      </c>
      <c r="D2389" s="31">
        <v>4378.41</v>
      </c>
      <c r="E2389" s="28">
        <f t="shared" si="46"/>
        <v>1.1390657230512101E-2</v>
      </c>
    </row>
    <row r="2390" spans="1:5">
      <c r="A2390" s="30">
        <v>45105</v>
      </c>
      <c r="B2390" s="28">
        <v>188.505585</v>
      </c>
      <c r="C2390" s="28">
        <f t="shared" si="46"/>
        <v>6.307910828895584E-3</v>
      </c>
      <c r="D2390" s="31">
        <v>4376.8599999999997</v>
      </c>
      <c r="E2390" s="28">
        <f t="shared" si="46"/>
        <v>-3.5407246519950932E-4</v>
      </c>
    </row>
    <row r="2391" spans="1:5">
      <c r="A2391" s="30">
        <v>45106</v>
      </c>
      <c r="B2391" s="28">
        <v>188.84423799999999</v>
      </c>
      <c r="C2391" s="28">
        <f t="shared" si="46"/>
        <v>1.7949026090792596E-3</v>
      </c>
      <c r="D2391" s="31">
        <v>4396.4399999999996</v>
      </c>
      <c r="E2391" s="28">
        <f t="shared" si="46"/>
        <v>4.4635502053141703E-3</v>
      </c>
    </row>
    <row r="2392" spans="1:5">
      <c r="A2392" s="30">
        <v>45107</v>
      </c>
      <c r="B2392" s="28">
        <v>193.20701600000001</v>
      </c>
      <c r="C2392" s="28">
        <f t="shared" si="46"/>
        <v>2.2839698113407938E-2</v>
      </c>
      <c r="D2392" s="31">
        <v>4450.38</v>
      </c>
      <c r="E2392" s="28">
        <f t="shared" si="46"/>
        <v>1.2194363266362706E-2</v>
      </c>
    </row>
    <row r="2393" spans="1:5">
      <c r="A2393" s="30">
        <v>45110</v>
      </c>
      <c r="B2393" s="28">
        <v>191.70297199999999</v>
      </c>
      <c r="C2393" s="28">
        <f t="shared" si="46"/>
        <v>-7.8150824967108262E-3</v>
      </c>
      <c r="D2393" s="31">
        <v>4455.59</v>
      </c>
      <c r="E2393" s="28">
        <f t="shared" si="46"/>
        <v>1.1700018289601843E-3</v>
      </c>
    </row>
    <row r="2394" spans="1:5">
      <c r="A2394" s="30">
        <v>45112</v>
      </c>
      <c r="B2394" s="28">
        <v>190.57740799999999</v>
      </c>
      <c r="C2394" s="28">
        <f t="shared" si="46"/>
        <v>-5.8887000822635625E-3</v>
      </c>
      <c r="D2394" s="31">
        <v>4446.82</v>
      </c>
      <c r="E2394" s="28">
        <f t="shared" si="46"/>
        <v>-1.9702536362673942E-3</v>
      </c>
    </row>
    <row r="2395" spans="1:5">
      <c r="A2395" s="30">
        <v>45113</v>
      </c>
      <c r="B2395" s="28">
        <v>191.055511</v>
      </c>
      <c r="C2395" s="28">
        <f t="shared" si="46"/>
        <v>2.5055660888730134E-3</v>
      </c>
      <c r="D2395" s="31">
        <v>4411.59</v>
      </c>
      <c r="E2395" s="28">
        <f t="shared" si="46"/>
        <v>-7.9540652874783013E-3</v>
      </c>
    </row>
    <row r="2396" spans="1:5">
      <c r="A2396" s="30">
        <v>45114</v>
      </c>
      <c r="B2396" s="28">
        <v>189.929947</v>
      </c>
      <c r="C2396" s="28">
        <f t="shared" si="46"/>
        <v>-5.9087151548170083E-3</v>
      </c>
      <c r="D2396" s="31">
        <v>4398.95</v>
      </c>
      <c r="E2396" s="28">
        <f t="shared" si="46"/>
        <v>-2.8692926136023467E-3</v>
      </c>
    </row>
    <row r="2397" spans="1:5">
      <c r="A2397" s="30">
        <v>45117</v>
      </c>
      <c r="B2397" s="28">
        <v>187.86810299999999</v>
      </c>
      <c r="C2397" s="28">
        <f t="shared" si="46"/>
        <v>-1.0915167353483086E-2</v>
      </c>
      <c r="D2397" s="31">
        <v>4409.53</v>
      </c>
      <c r="E2397" s="28">
        <f t="shared" si="46"/>
        <v>2.4022317330228151E-3</v>
      </c>
    </row>
    <row r="2398" spans="1:5">
      <c r="A2398" s="30">
        <v>45118</v>
      </c>
      <c r="B2398" s="28">
        <v>187.34017900000001</v>
      </c>
      <c r="C2398" s="28">
        <f t="shared" si="46"/>
        <v>-2.8140335579069798E-3</v>
      </c>
      <c r="D2398" s="31">
        <v>4439.26</v>
      </c>
      <c r="E2398" s="28">
        <f t="shared" si="46"/>
        <v>6.7195880716203853E-3</v>
      </c>
    </row>
    <row r="2399" spans="1:5">
      <c r="A2399" s="30">
        <v>45119</v>
      </c>
      <c r="B2399" s="28">
        <v>189.02354399999999</v>
      </c>
      <c r="C2399" s="28">
        <f t="shared" si="46"/>
        <v>8.9454754672982414E-3</v>
      </c>
      <c r="D2399" s="31">
        <v>4472.16</v>
      </c>
      <c r="E2399" s="28">
        <f t="shared" si="46"/>
        <v>7.383817501052891E-3</v>
      </c>
    </row>
    <row r="2400" spans="1:5">
      <c r="A2400" s="30">
        <v>45120</v>
      </c>
      <c r="B2400" s="28">
        <v>189.79051200000001</v>
      </c>
      <c r="C2400" s="28">
        <f t="shared" si="46"/>
        <v>4.0493167338828163E-3</v>
      </c>
      <c r="D2400" s="31">
        <v>4510.04</v>
      </c>
      <c r="E2400" s="28">
        <f t="shared" si="46"/>
        <v>8.434509266769535E-3</v>
      </c>
    </row>
    <row r="2401" spans="1:5">
      <c r="A2401" s="30">
        <v>45121</v>
      </c>
      <c r="B2401" s="28">
        <v>189.93992600000001</v>
      </c>
      <c r="C2401" s="28">
        <f t="shared" si="46"/>
        <v>7.8694775429546764E-4</v>
      </c>
      <c r="D2401" s="31">
        <v>4505.42</v>
      </c>
      <c r="E2401" s="28">
        <f t="shared" si="46"/>
        <v>-1.0249061954501163E-3</v>
      </c>
    </row>
    <row r="2402" spans="1:5">
      <c r="A2402" s="30">
        <v>45124</v>
      </c>
      <c r="B2402" s="28">
        <v>193.22692900000001</v>
      </c>
      <c r="C2402" s="28">
        <f t="shared" si="46"/>
        <v>1.7157452905317488E-2</v>
      </c>
      <c r="D2402" s="31">
        <v>4522.79</v>
      </c>
      <c r="E2402" s="28">
        <f t="shared" si="46"/>
        <v>3.8479435973795429E-3</v>
      </c>
    </row>
    <row r="2403" spans="1:5">
      <c r="A2403" s="30">
        <v>45125</v>
      </c>
      <c r="B2403" s="28">
        <v>192.96795700000001</v>
      </c>
      <c r="C2403" s="28">
        <f t="shared" si="46"/>
        <v>-1.3411469090101114E-3</v>
      </c>
      <c r="D2403" s="31">
        <v>4554.9799999999996</v>
      </c>
      <c r="E2403" s="28">
        <f t="shared" si="46"/>
        <v>7.0920798661324126E-3</v>
      </c>
    </row>
    <row r="2404" spans="1:5">
      <c r="A2404" s="30">
        <v>45126</v>
      </c>
      <c r="B2404" s="28">
        <v>194.332581</v>
      </c>
      <c r="C2404" s="28">
        <f t="shared" si="46"/>
        <v>7.0468771055055618E-3</v>
      </c>
      <c r="D2404" s="31">
        <v>4565.72</v>
      </c>
      <c r="E2404" s="28">
        <f t="shared" si="46"/>
        <v>2.3550834835142126E-3</v>
      </c>
    </row>
    <row r="2405" spans="1:5">
      <c r="A2405" s="30">
        <v>45127</v>
      </c>
      <c r="B2405" s="28">
        <v>192.37033099999999</v>
      </c>
      <c r="C2405" s="28">
        <f t="shared" si="46"/>
        <v>-1.0148704760707398E-2</v>
      </c>
      <c r="D2405" s="31">
        <v>4534.87</v>
      </c>
      <c r="E2405" s="28">
        <f t="shared" si="46"/>
        <v>-6.7798061818515913E-3</v>
      </c>
    </row>
    <row r="2406" spans="1:5">
      <c r="A2406" s="30">
        <v>45128</v>
      </c>
      <c r="B2406" s="28">
        <v>191.185013</v>
      </c>
      <c r="C2406" s="28">
        <f t="shared" si="46"/>
        <v>-6.1807079052117178E-3</v>
      </c>
      <c r="D2406" s="31">
        <v>4536.34</v>
      </c>
      <c r="E2406" s="28">
        <f t="shared" si="46"/>
        <v>3.2410230010493271E-4</v>
      </c>
    </row>
    <row r="2407" spans="1:5">
      <c r="A2407" s="30">
        <v>45131</v>
      </c>
      <c r="B2407" s="28">
        <v>191.991806</v>
      </c>
      <c r="C2407" s="28">
        <f t="shared" si="46"/>
        <v>4.2110803798457285E-3</v>
      </c>
      <c r="D2407" s="31">
        <v>4554.6400000000003</v>
      </c>
      <c r="E2407" s="28">
        <f t="shared" si="46"/>
        <v>4.0259740353417468E-3</v>
      </c>
    </row>
    <row r="2408" spans="1:5">
      <c r="A2408" s="30">
        <v>45132</v>
      </c>
      <c r="B2408" s="28">
        <v>192.858383</v>
      </c>
      <c r="C2408" s="28">
        <f t="shared" si="46"/>
        <v>4.5034586931019267E-3</v>
      </c>
      <c r="D2408" s="31">
        <v>4567.46</v>
      </c>
      <c r="E2408" s="28">
        <f t="shared" si="46"/>
        <v>2.8107581456501534E-3</v>
      </c>
    </row>
    <row r="2409" spans="1:5">
      <c r="A2409" s="30">
        <v>45133</v>
      </c>
      <c r="B2409" s="28">
        <v>193.73493999999999</v>
      </c>
      <c r="C2409" s="28">
        <f t="shared" si="46"/>
        <v>4.5347834532830705E-3</v>
      </c>
      <c r="D2409" s="31">
        <v>4566.75</v>
      </c>
      <c r="E2409" s="28">
        <f t="shared" si="46"/>
        <v>-1.5545953102232801E-4</v>
      </c>
    </row>
    <row r="2410" spans="1:5">
      <c r="A2410" s="30">
        <v>45134</v>
      </c>
      <c r="B2410" s="28">
        <v>192.45996099999999</v>
      </c>
      <c r="C2410" s="28">
        <f t="shared" si="46"/>
        <v>-6.6027988914157737E-3</v>
      </c>
      <c r="D2410" s="31">
        <v>4537.41</v>
      </c>
      <c r="E2410" s="28">
        <f t="shared" si="46"/>
        <v>-6.4454274911412875E-3</v>
      </c>
    </row>
    <row r="2411" spans="1:5">
      <c r="A2411" s="30">
        <v>45135</v>
      </c>
      <c r="B2411" s="28">
        <v>195.059708</v>
      </c>
      <c r="C2411" s="28">
        <f t="shared" si="46"/>
        <v>1.3417569278734191E-2</v>
      </c>
      <c r="D2411" s="31">
        <v>4582.2299999999996</v>
      </c>
      <c r="E2411" s="28">
        <f t="shared" si="46"/>
        <v>9.8294145087675765E-3</v>
      </c>
    </row>
    <row r="2412" spans="1:5">
      <c r="A2412" s="30">
        <v>45138</v>
      </c>
      <c r="B2412" s="28">
        <v>195.67726099999999</v>
      </c>
      <c r="C2412" s="28">
        <f t="shared" si="46"/>
        <v>3.1609679308394274E-3</v>
      </c>
      <c r="D2412" s="31">
        <v>4588.96</v>
      </c>
      <c r="E2412" s="28">
        <f t="shared" si="46"/>
        <v>1.4676396864565879E-3</v>
      </c>
    </row>
    <row r="2413" spans="1:5">
      <c r="A2413" s="30">
        <v>45139</v>
      </c>
      <c r="B2413" s="28">
        <v>194.84056100000001</v>
      </c>
      <c r="C2413" s="28">
        <f t="shared" si="46"/>
        <v>-4.2850862785337755E-3</v>
      </c>
      <c r="D2413" s="31">
        <v>4576.7299999999996</v>
      </c>
      <c r="E2413" s="28">
        <f t="shared" si="46"/>
        <v>-2.668649552448092E-3</v>
      </c>
    </row>
    <row r="2414" spans="1:5">
      <c r="A2414" s="30">
        <v>45140</v>
      </c>
      <c r="B2414" s="28">
        <v>191.822495</v>
      </c>
      <c r="C2414" s="28">
        <f t="shared" si="46"/>
        <v>-1.561114901883366E-2</v>
      </c>
      <c r="D2414" s="31">
        <v>4513.3900000000003</v>
      </c>
      <c r="E2414" s="28">
        <f t="shared" si="46"/>
        <v>-1.3936235197657028E-2</v>
      </c>
    </row>
    <row r="2415" spans="1:5">
      <c r="A2415" s="30">
        <v>45141</v>
      </c>
      <c r="B2415" s="28">
        <v>190.41802999999999</v>
      </c>
      <c r="C2415" s="28">
        <f t="shared" si="46"/>
        <v>-7.3486259488388973E-3</v>
      </c>
      <c r="D2415" s="31">
        <v>4501.8900000000003</v>
      </c>
      <c r="E2415" s="28">
        <f t="shared" si="46"/>
        <v>-2.5512255276715053E-3</v>
      </c>
    </row>
    <row r="2416" spans="1:5">
      <c r="A2416" s="30">
        <v>45142</v>
      </c>
      <c r="B2416" s="28">
        <v>181.27415500000001</v>
      </c>
      <c r="C2416" s="28">
        <f t="shared" si="46"/>
        <v>-4.9211259431310141E-2</v>
      </c>
      <c r="D2416" s="31">
        <v>4478.03</v>
      </c>
      <c r="E2416" s="28">
        <f t="shared" si="46"/>
        <v>-5.3140910274567365E-3</v>
      </c>
    </row>
    <row r="2417" spans="1:5">
      <c r="A2417" s="30">
        <v>45145</v>
      </c>
      <c r="B2417" s="28">
        <v>178.14648399999999</v>
      </c>
      <c r="C2417" s="28">
        <f t="shared" si="46"/>
        <v>-1.7404398141076333E-2</v>
      </c>
      <c r="D2417" s="31">
        <v>4518.4399999999996</v>
      </c>
      <c r="E2417" s="28">
        <f t="shared" si="46"/>
        <v>8.9835839552586446E-3</v>
      </c>
    </row>
    <row r="2418" spans="1:5">
      <c r="A2418" s="30">
        <v>45146</v>
      </c>
      <c r="B2418" s="28">
        <v>179.09274300000001</v>
      </c>
      <c r="C2418" s="28">
        <f t="shared" si="46"/>
        <v>5.2976333030515564E-3</v>
      </c>
      <c r="D2418" s="31">
        <v>4499.38</v>
      </c>
      <c r="E2418" s="28">
        <f t="shared" si="46"/>
        <v>-4.227192022498048E-3</v>
      </c>
    </row>
    <row r="2419" spans="1:5">
      <c r="A2419" s="30">
        <v>45147</v>
      </c>
      <c r="B2419" s="28">
        <v>177.48909</v>
      </c>
      <c r="C2419" s="28">
        <f t="shared" si="46"/>
        <v>-8.9946467450565306E-3</v>
      </c>
      <c r="D2419" s="31">
        <v>4467.71</v>
      </c>
      <c r="E2419" s="28">
        <f t="shared" si="46"/>
        <v>-7.0636364040070568E-3</v>
      </c>
    </row>
    <row r="2420" spans="1:5">
      <c r="A2420" s="30">
        <v>45148</v>
      </c>
      <c r="B2420" s="28">
        <v>177.269958</v>
      </c>
      <c r="C2420" s="28">
        <f t="shared" si="46"/>
        <v>-1.2353851387576949E-3</v>
      </c>
      <c r="D2420" s="31">
        <v>4468.83</v>
      </c>
      <c r="E2420" s="28">
        <f t="shared" si="46"/>
        <v>2.5065629558288107E-4</v>
      </c>
    </row>
    <row r="2421" spans="1:5">
      <c r="A2421" s="30">
        <v>45149</v>
      </c>
      <c r="B2421" s="28">
        <v>177.329803</v>
      </c>
      <c r="C2421" s="28">
        <f t="shared" si="46"/>
        <v>3.3753548169026398E-4</v>
      </c>
      <c r="D2421" s="31">
        <v>4464.05</v>
      </c>
      <c r="E2421" s="28">
        <f t="shared" si="46"/>
        <v>-1.0702036647139679E-3</v>
      </c>
    </row>
    <row r="2422" spans="1:5">
      <c r="A2422" s="30">
        <v>45152</v>
      </c>
      <c r="B2422" s="28">
        <v>178.99548300000001</v>
      </c>
      <c r="C2422" s="28">
        <f t="shared" si="46"/>
        <v>9.3492783048515615E-3</v>
      </c>
      <c r="D2422" s="31">
        <v>4489.72</v>
      </c>
      <c r="E2422" s="28">
        <f t="shared" si="46"/>
        <v>5.7339132747375263E-3</v>
      </c>
    </row>
    <row r="2423" spans="1:5">
      <c r="A2423" s="30">
        <v>45153</v>
      </c>
      <c r="B2423" s="28">
        <v>176.99067700000001</v>
      </c>
      <c r="C2423" s="28">
        <f t="shared" si="46"/>
        <v>-1.1263512015274918E-2</v>
      </c>
      <c r="D2423" s="31">
        <v>4437.8599999999997</v>
      </c>
      <c r="E2423" s="28">
        <f t="shared" si="46"/>
        <v>-1.1618060736365813E-2</v>
      </c>
    </row>
    <row r="2424" spans="1:5">
      <c r="A2424" s="30">
        <v>45154</v>
      </c>
      <c r="B2424" s="28">
        <v>176.11296100000001</v>
      </c>
      <c r="C2424" s="28">
        <f t="shared" si="46"/>
        <v>-4.9714458492694106E-3</v>
      </c>
      <c r="D2424" s="31">
        <v>4404.33</v>
      </c>
      <c r="E2424" s="28">
        <f t="shared" si="46"/>
        <v>-7.5841303382103969E-3</v>
      </c>
    </row>
    <row r="2425" spans="1:5">
      <c r="A2425" s="30">
        <v>45155</v>
      </c>
      <c r="B2425" s="28">
        <v>173.549622</v>
      </c>
      <c r="C2425" s="28">
        <f t="shared" si="46"/>
        <v>-1.4662048762189477E-2</v>
      </c>
      <c r="D2425" s="31">
        <v>4370.3599999999997</v>
      </c>
      <c r="E2425" s="28">
        <f t="shared" si="46"/>
        <v>-7.7427623561250646E-3</v>
      </c>
    </row>
    <row r="2426" spans="1:5">
      <c r="A2426" s="30">
        <v>45156</v>
      </c>
      <c r="B2426" s="28">
        <v>174.03834499999999</v>
      </c>
      <c r="C2426" s="28">
        <f t="shared" si="46"/>
        <v>2.8120842403096718E-3</v>
      </c>
      <c r="D2426" s="31">
        <v>4369.71</v>
      </c>
      <c r="E2426" s="28">
        <f t="shared" si="46"/>
        <v>-1.4874022775515319E-4</v>
      </c>
    </row>
    <row r="2427" spans="1:5">
      <c r="A2427" s="30">
        <v>45159</v>
      </c>
      <c r="B2427" s="28">
        <v>175.38484199999999</v>
      </c>
      <c r="C2427" s="28">
        <f t="shared" si="46"/>
        <v>7.7070080923175377E-3</v>
      </c>
      <c r="D2427" s="31">
        <v>4399.7700000000004</v>
      </c>
      <c r="E2427" s="28">
        <f t="shared" si="46"/>
        <v>6.8556214812669266E-3</v>
      </c>
    </row>
    <row r="2428" spans="1:5">
      <c r="A2428" s="30">
        <v>45160</v>
      </c>
      <c r="B2428" s="28">
        <v>176.77124000000001</v>
      </c>
      <c r="C2428" s="28">
        <f t="shared" si="46"/>
        <v>7.8738106967591384E-3</v>
      </c>
      <c r="D2428" s="31">
        <v>4387.55</v>
      </c>
      <c r="E2428" s="28">
        <f t="shared" si="46"/>
        <v>-2.7812820922299762E-3</v>
      </c>
    </row>
    <row r="2429" spans="1:5">
      <c r="A2429" s="30">
        <v>45161</v>
      </c>
      <c r="B2429" s="28">
        <v>180.651184</v>
      </c>
      <c r="C2429" s="28">
        <f t="shared" si="46"/>
        <v>2.1711544394191717E-2</v>
      </c>
      <c r="D2429" s="31">
        <v>4436.01</v>
      </c>
      <c r="E2429" s="28">
        <f t="shared" si="46"/>
        <v>1.0984339030271489E-2</v>
      </c>
    </row>
    <row r="2430" spans="1:5">
      <c r="A2430" s="30">
        <v>45162</v>
      </c>
      <c r="B2430" s="28">
        <v>175.92344700000001</v>
      </c>
      <c r="C2430" s="28">
        <f t="shared" si="46"/>
        <v>-2.6519071494088498E-2</v>
      </c>
      <c r="D2430" s="31">
        <v>4376.3100000000004</v>
      </c>
      <c r="E2430" s="28">
        <f t="shared" si="46"/>
        <v>-1.3549420207499292E-2</v>
      </c>
    </row>
    <row r="2431" spans="1:5">
      <c r="A2431" s="30">
        <v>45163</v>
      </c>
      <c r="B2431" s="28">
        <v>178.14767499999999</v>
      </c>
      <c r="C2431" s="28">
        <f t="shared" si="46"/>
        <v>1.2563900978554414E-2</v>
      </c>
      <c r="D2431" s="31">
        <v>4405.71</v>
      </c>
      <c r="E2431" s="28">
        <f t="shared" si="46"/>
        <v>6.6955233154781116E-3</v>
      </c>
    </row>
    <row r="2432" spans="1:5">
      <c r="A2432" s="30">
        <v>45166</v>
      </c>
      <c r="B2432" s="28">
        <v>179.72358700000001</v>
      </c>
      <c r="C2432" s="28">
        <f t="shared" si="46"/>
        <v>8.8072016608282903E-3</v>
      </c>
      <c r="D2432" s="31">
        <v>4433.3100000000004</v>
      </c>
      <c r="E2432" s="28">
        <f t="shared" si="46"/>
        <v>6.2450565111568821E-3</v>
      </c>
    </row>
    <row r="2433" spans="1:5">
      <c r="A2433" s="30">
        <v>45167</v>
      </c>
      <c r="B2433" s="28">
        <v>183.643417</v>
      </c>
      <c r="C2433" s="28">
        <f t="shared" si="46"/>
        <v>2.1575883437574907E-2</v>
      </c>
      <c r="D2433" s="31">
        <v>4497.63</v>
      </c>
      <c r="E2433" s="28">
        <f t="shared" si="46"/>
        <v>1.4404107984150809E-2</v>
      </c>
    </row>
    <row r="2434" spans="1:5">
      <c r="A2434" s="30">
        <v>45168</v>
      </c>
      <c r="B2434" s="28">
        <v>187.164276</v>
      </c>
      <c r="C2434" s="28">
        <f t="shared" si="46"/>
        <v>1.8990786233962682E-2</v>
      </c>
      <c r="D2434" s="31">
        <v>4514.87</v>
      </c>
      <c r="E2434" s="28">
        <f t="shared" si="46"/>
        <v>3.8258021699069606E-3</v>
      </c>
    </row>
    <row r="2435" spans="1:5">
      <c r="A2435" s="30">
        <v>45169</v>
      </c>
      <c r="B2435" s="28">
        <v>187.383713</v>
      </c>
      <c r="C2435" s="28">
        <f t="shared" si="46"/>
        <v>1.1717431760494936E-3</v>
      </c>
      <c r="D2435" s="31">
        <v>4507.66</v>
      </c>
      <c r="E2435" s="28">
        <f t="shared" si="46"/>
        <v>-1.5982216816604765E-3</v>
      </c>
    </row>
    <row r="2436" spans="1:5">
      <c r="A2436" s="30">
        <v>45170</v>
      </c>
      <c r="B2436" s="28">
        <v>188.969604</v>
      </c>
      <c r="C2436" s="28">
        <f t="shared" si="46"/>
        <v>8.4277210538157548E-3</v>
      </c>
      <c r="D2436" s="31">
        <v>4515.7700000000004</v>
      </c>
      <c r="E2436" s="28">
        <f t="shared" si="46"/>
        <v>1.7975431036151848E-3</v>
      </c>
    </row>
    <row r="2437" spans="1:5">
      <c r="A2437" s="30">
        <v>45174</v>
      </c>
      <c r="B2437" s="28">
        <v>189.208969</v>
      </c>
      <c r="C2437" s="28">
        <f t="shared" ref="C2437:E2500" si="47">LN(B2437/B2436)</f>
        <v>1.2658836277559579E-3</v>
      </c>
      <c r="D2437" s="31">
        <v>4496.83</v>
      </c>
      <c r="E2437" s="28">
        <f t="shared" si="47"/>
        <v>-4.203010869610265E-3</v>
      </c>
    </row>
    <row r="2438" spans="1:5">
      <c r="A2438" s="30">
        <v>45175</v>
      </c>
      <c r="B2438" s="28">
        <v>182.436554</v>
      </c>
      <c r="C2438" s="28">
        <f t="shared" si="47"/>
        <v>-3.644959709333688E-2</v>
      </c>
      <c r="D2438" s="31">
        <v>4465.4799999999996</v>
      </c>
      <c r="E2438" s="28">
        <f t="shared" si="47"/>
        <v>-6.9959927442528732E-3</v>
      </c>
    </row>
    <row r="2439" spans="1:5">
      <c r="A2439" s="30">
        <v>45176</v>
      </c>
      <c r="B2439" s="28">
        <v>177.100403</v>
      </c>
      <c r="C2439" s="28">
        <f t="shared" si="47"/>
        <v>-2.9685642926710071E-2</v>
      </c>
      <c r="D2439" s="31">
        <v>4451.1400000000003</v>
      </c>
      <c r="E2439" s="28">
        <f t="shared" si="47"/>
        <v>-3.2164682050081963E-3</v>
      </c>
    </row>
    <row r="2440" spans="1:5">
      <c r="A2440" s="30">
        <v>45177</v>
      </c>
      <c r="B2440" s="28">
        <v>177.71878100000001</v>
      </c>
      <c r="C2440" s="28">
        <f t="shared" si="47"/>
        <v>3.4855986032399922E-3</v>
      </c>
      <c r="D2440" s="31">
        <v>4457.49</v>
      </c>
      <c r="E2440" s="28">
        <f t="shared" si="47"/>
        <v>1.4255841976643817E-3</v>
      </c>
    </row>
    <row r="2441" spans="1:5">
      <c r="A2441" s="30">
        <v>45180</v>
      </c>
      <c r="B2441" s="28">
        <v>178.895737</v>
      </c>
      <c r="C2441" s="28">
        <f t="shared" si="47"/>
        <v>6.6007423360608976E-3</v>
      </c>
      <c r="D2441" s="31">
        <v>4487.46</v>
      </c>
      <c r="E2441" s="28">
        <f t="shared" si="47"/>
        <v>6.7010127829867268E-3</v>
      </c>
    </row>
    <row r="2442" spans="1:5">
      <c r="A2442" s="30">
        <v>45181</v>
      </c>
      <c r="B2442" s="28">
        <v>175.843658</v>
      </c>
      <c r="C2442" s="28">
        <f t="shared" si="47"/>
        <v>-1.7207867834374547E-2</v>
      </c>
      <c r="D2442" s="31">
        <v>4461.8999999999996</v>
      </c>
      <c r="E2442" s="28">
        <f t="shared" si="47"/>
        <v>-5.7121558411206055E-3</v>
      </c>
    </row>
    <row r="2443" spans="1:5">
      <c r="A2443" s="30">
        <v>45182</v>
      </c>
      <c r="B2443" s="28">
        <v>173.759064</v>
      </c>
      <c r="C2443" s="28">
        <f t="shared" si="47"/>
        <v>-1.1925643450931046E-2</v>
      </c>
      <c r="D2443" s="31">
        <v>4467.4399999999996</v>
      </c>
      <c r="E2443" s="28">
        <f t="shared" si="47"/>
        <v>1.2408533465711885E-3</v>
      </c>
    </row>
    <row r="2444" spans="1:5">
      <c r="A2444" s="30">
        <v>45183</v>
      </c>
      <c r="B2444" s="28">
        <v>175.28512599999999</v>
      </c>
      <c r="C2444" s="28">
        <f t="shared" si="47"/>
        <v>8.7442895060165036E-3</v>
      </c>
      <c r="D2444" s="31">
        <v>4505.1000000000004</v>
      </c>
      <c r="E2444" s="28">
        <f t="shared" si="47"/>
        <v>8.394550741111827E-3</v>
      </c>
    </row>
    <row r="2445" spans="1:5">
      <c r="A2445" s="30">
        <v>45184</v>
      </c>
      <c r="B2445" s="28">
        <v>174.55697599999999</v>
      </c>
      <c r="C2445" s="28">
        <f t="shared" si="47"/>
        <v>-4.1627411184111699E-3</v>
      </c>
      <c r="D2445" s="31">
        <v>4450.32</v>
      </c>
      <c r="E2445" s="28">
        <f t="shared" si="47"/>
        <v>-1.2234084667107637E-2</v>
      </c>
    </row>
    <row r="2446" spans="1:5">
      <c r="A2446" s="30">
        <v>45187</v>
      </c>
      <c r="B2446" s="28">
        <v>177.50933800000001</v>
      </c>
      <c r="C2446" s="28">
        <f t="shared" si="47"/>
        <v>1.6772017604063078E-2</v>
      </c>
      <c r="D2446" s="31">
        <v>4453.53</v>
      </c>
      <c r="E2446" s="28">
        <f t="shared" si="47"/>
        <v>7.2103643683838804E-4</v>
      </c>
    </row>
    <row r="2447" spans="1:5">
      <c r="A2447" s="30">
        <v>45188</v>
      </c>
      <c r="B2447" s="28">
        <v>178.60649100000001</v>
      </c>
      <c r="C2447" s="28">
        <f t="shared" si="47"/>
        <v>6.1617955845749469E-3</v>
      </c>
      <c r="D2447" s="31">
        <v>4443.95</v>
      </c>
      <c r="E2447" s="28">
        <f t="shared" si="47"/>
        <v>-2.1534195529618974E-3</v>
      </c>
    </row>
    <row r="2448" spans="1:5">
      <c r="A2448" s="30">
        <v>45189</v>
      </c>
      <c r="B2448" s="28">
        <v>175.035751</v>
      </c>
      <c r="C2448" s="28">
        <f t="shared" si="47"/>
        <v>-2.0194767079540564E-2</v>
      </c>
      <c r="D2448" s="31">
        <v>4402.2</v>
      </c>
      <c r="E2448" s="28">
        <f t="shared" si="47"/>
        <v>-9.4392046231101256E-3</v>
      </c>
    </row>
    <row r="2449" spans="1:5">
      <c r="A2449" s="30">
        <v>45190</v>
      </c>
      <c r="B2449" s="28">
        <v>173.47979699999999</v>
      </c>
      <c r="C2449" s="28">
        <f t="shared" si="47"/>
        <v>-8.9290956846600524E-3</v>
      </c>
      <c r="D2449" s="31">
        <v>4330</v>
      </c>
      <c r="E2449" s="28">
        <f t="shared" si="47"/>
        <v>-1.653687395146802E-2</v>
      </c>
    </row>
    <row r="2450" spans="1:5">
      <c r="A2450" s="30">
        <v>45191</v>
      </c>
      <c r="B2450" s="28">
        <v>174.33755500000001</v>
      </c>
      <c r="C2450" s="28">
        <f t="shared" si="47"/>
        <v>4.9322423620214006E-3</v>
      </c>
      <c r="D2450" s="31">
        <v>4320.0600000000004</v>
      </c>
      <c r="E2450" s="28">
        <f t="shared" si="47"/>
        <v>-2.2982509659402743E-3</v>
      </c>
    </row>
    <row r="2451" spans="1:5">
      <c r="A2451" s="30">
        <v>45194</v>
      </c>
      <c r="B2451" s="28">
        <v>175.624222</v>
      </c>
      <c r="C2451" s="28">
        <f t="shared" si="47"/>
        <v>7.3532190201650426E-3</v>
      </c>
      <c r="D2451" s="31">
        <v>4337.4399999999996</v>
      </c>
      <c r="E2451" s="28">
        <f t="shared" si="47"/>
        <v>4.0150212758186272E-3</v>
      </c>
    </row>
    <row r="2452" spans="1:5">
      <c r="A2452" s="30">
        <v>45195</v>
      </c>
      <c r="B2452" s="28">
        <v>171.514893</v>
      </c>
      <c r="C2452" s="28">
        <f t="shared" si="47"/>
        <v>-2.3676507699163508E-2</v>
      </c>
      <c r="D2452" s="31">
        <v>4273.53</v>
      </c>
      <c r="E2452" s="28">
        <f t="shared" si="47"/>
        <v>-1.4844128717961364E-2</v>
      </c>
    </row>
    <row r="2453" spans="1:5">
      <c r="A2453" s="30">
        <v>45196</v>
      </c>
      <c r="B2453" s="28">
        <v>169.988831</v>
      </c>
      <c r="C2453" s="28">
        <f t="shared" si="47"/>
        <v>-8.9373675938739933E-3</v>
      </c>
      <c r="D2453" s="31">
        <v>4274.51</v>
      </c>
      <c r="E2453" s="28">
        <f t="shared" si="47"/>
        <v>2.2929233000634007E-4</v>
      </c>
    </row>
    <row r="2454" spans="1:5">
      <c r="A2454" s="30">
        <v>45197</v>
      </c>
      <c r="B2454" s="28">
        <v>170.24818400000001</v>
      </c>
      <c r="C2454" s="28">
        <f t="shared" si="47"/>
        <v>1.5245434141434816E-3</v>
      </c>
      <c r="D2454" s="31">
        <v>4299.7</v>
      </c>
      <c r="E2454" s="28">
        <f t="shared" si="47"/>
        <v>5.8757768874731896E-3</v>
      </c>
    </row>
    <row r="2455" spans="1:5">
      <c r="A2455" s="30">
        <v>45198</v>
      </c>
      <c r="B2455" s="28">
        <v>170.76683</v>
      </c>
      <c r="C2455" s="28">
        <f t="shared" si="47"/>
        <v>3.0417804413416173E-3</v>
      </c>
      <c r="D2455" s="31">
        <v>4288.05</v>
      </c>
      <c r="E2455" s="28">
        <f t="shared" si="47"/>
        <v>-2.7131686755154211E-3</v>
      </c>
    </row>
    <row r="2456" spans="1:5">
      <c r="A2456" s="30">
        <v>45201</v>
      </c>
      <c r="B2456" s="28">
        <v>173.300262</v>
      </c>
      <c r="C2456" s="28">
        <f t="shared" si="47"/>
        <v>1.4726649802208171E-2</v>
      </c>
      <c r="D2456" s="31">
        <v>4288.3900000000003</v>
      </c>
      <c r="E2456" s="28">
        <f t="shared" si="47"/>
        <v>7.9286976922361474E-5</v>
      </c>
    </row>
    <row r="2457" spans="1:5">
      <c r="A2457" s="30">
        <v>45202</v>
      </c>
      <c r="B2457" s="28">
        <v>171.95375100000001</v>
      </c>
      <c r="C2457" s="28">
        <f t="shared" si="47"/>
        <v>-7.8001574283187566E-3</v>
      </c>
      <c r="D2457" s="31">
        <v>4229.45</v>
      </c>
      <c r="E2457" s="28">
        <f t="shared" si="47"/>
        <v>-1.3839410161483797E-2</v>
      </c>
    </row>
    <row r="2458" spans="1:5">
      <c r="A2458" s="30">
        <v>45203</v>
      </c>
      <c r="B2458" s="28">
        <v>173.21049500000001</v>
      </c>
      <c r="C2458" s="28">
        <f t="shared" si="47"/>
        <v>7.2820378594758029E-3</v>
      </c>
      <c r="D2458" s="31">
        <v>4263.75</v>
      </c>
      <c r="E2458" s="28">
        <f t="shared" si="47"/>
        <v>8.0770937870001339E-3</v>
      </c>
    </row>
    <row r="2459" spans="1:5">
      <c r="A2459" s="30">
        <v>45204</v>
      </c>
      <c r="B2459" s="28">
        <v>174.45725999999999</v>
      </c>
      <c r="C2459" s="28">
        <f t="shared" si="47"/>
        <v>7.1721942950958772E-3</v>
      </c>
      <c r="D2459" s="31">
        <v>4258.1899999999996</v>
      </c>
      <c r="E2459" s="28">
        <f t="shared" si="47"/>
        <v>-1.3048673867472557E-3</v>
      </c>
    </row>
    <row r="2460" spans="1:5">
      <c r="A2460" s="30">
        <v>45205</v>
      </c>
      <c r="B2460" s="28">
        <v>177.03059400000001</v>
      </c>
      <c r="C2460" s="28">
        <f t="shared" si="47"/>
        <v>1.4642781819187004E-2</v>
      </c>
      <c r="D2460" s="31">
        <v>4308.5</v>
      </c>
      <c r="E2460" s="28">
        <f t="shared" si="47"/>
        <v>1.1745628333713317E-2</v>
      </c>
    </row>
    <row r="2461" spans="1:5">
      <c r="A2461" s="30">
        <v>45208</v>
      </c>
      <c r="B2461" s="28">
        <v>178.526703</v>
      </c>
      <c r="C2461" s="28">
        <f t="shared" si="47"/>
        <v>8.4156215748322806E-3</v>
      </c>
      <c r="D2461" s="31">
        <v>4335.66</v>
      </c>
      <c r="E2461" s="28">
        <f t="shared" si="47"/>
        <v>6.2840320810455159E-3</v>
      </c>
    </row>
    <row r="2462" spans="1:5">
      <c r="A2462" s="30">
        <v>45209</v>
      </c>
      <c r="B2462" s="28">
        <v>177.92825300000001</v>
      </c>
      <c r="C2462" s="28">
        <f t="shared" si="47"/>
        <v>-3.3577906672811663E-3</v>
      </c>
      <c r="D2462" s="31">
        <v>4358.24</v>
      </c>
      <c r="E2462" s="28">
        <f t="shared" si="47"/>
        <v>5.1944583608864153E-3</v>
      </c>
    </row>
    <row r="2463" spans="1:5">
      <c r="A2463" s="30">
        <v>45210</v>
      </c>
      <c r="B2463" s="28">
        <v>179.33459500000001</v>
      </c>
      <c r="C2463" s="28">
        <f t="shared" si="47"/>
        <v>7.8729107823054846E-3</v>
      </c>
      <c r="D2463" s="31">
        <v>4376.95</v>
      </c>
      <c r="E2463" s="28">
        <f t="shared" si="47"/>
        <v>4.2838286545689866E-3</v>
      </c>
    </row>
    <row r="2464" spans="1:5">
      <c r="A2464" s="30">
        <v>45211</v>
      </c>
      <c r="B2464" s="28">
        <v>180.24224899999999</v>
      </c>
      <c r="C2464" s="28">
        <f t="shared" si="47"/>
        <v>5.0484670685976172E-3</v>
      </c>
      <c r="D2464" s="31">
        <v>4349.6099999999997</v>
      </c>
      <c r="E2464" s="28">
        <f t="shared" si="47"/>
        <v>-6.2659488852716012E-3</v>
      </c>
    </row>
    <row r="2465" spans="1:5">
      <c r="A2465" s="30">
        <v>45212</v>
      </c>
      <c r="B2465" s="28">
        <v>178.38705400000001</v>
      </c>
      <c r="C2465" s="28">
        <f t="shared" si="47"/>
        <v>-1.0346123605305931E-2</v>
      </c>
      <c r="D2465" s="31">
        <v>4327.78</v>
      </c>
      <c r="E2465" s="28">
        <f t="shared" si="47"/>
        <v>-5.0314774496886677E-3</v>
      </c>
    </row>
    <row r="2466" spans="1:5">
      <c r="A2466" s="30">
        <v>45215</v>
      </c>
      <c r="B2466" s="28">
        <v>178.25740099999999</v>
      </c>
      <c r="C2466" s="28">
        <f t="shared" si="47"/>
        <v>-7.2707147913790473E-4</v>
      </c>
      <c r="D2466" s="31">
        <v>4373.63</v>
      </c>
      <c r="E2466" s="28">
        <f t="shared" si="47"/>
        <v>1.0538619453747615E-2</v>
      </c>
    </row>
    <row r="2467" spans="1:5">
      <c r="A2467" s="30">
        <v>45216</v>
      </c>
      <c r="B2467" s="28">
        <v>176.691452</v>
      </c>
      <c r="C2467" s="28">
        <f t="shared" si="47"/>
        <v>-8.8235763917158989E-3</v>
      </c>
      <c r="D2467" s="31">
        <v>4373.2</v>
      </c>
      <c r="E2467" s="28">
        <f t="shared" si="47"/>
        <v>-9.8321334779938874E-5</v>
      </c>
    </row>
    <row r="2468" spans="1:5">
      <c r="A2468" s="30">
        <v>45217</v>
      </c>
      <c r="B2468" s="28">
        <v>175.38484199999999</v>
      </c>
      <c r="C2468" s="28">
        <f t="shared" si="47"/>
        <v>-7.4223457859718608E-3</v>
      </c>
      <c r="D2468" s="31">
        <v>4314.6000000000004</v>
      </c>
      <c r="E2468" s="28">
        <f t="shared" si="47"/>
        <v>-1.349038622382619E-2</v>
      </c>
    </row>
    <row r="2469" spans="1:5">
      <c r="A2469" s="30">
        <v>45218</v>
      </c>
      <c r="B2469" s="28">
        <v>175.005844</v>
      </c>
      <c r="C2469" s="28">
        <f t="shared" si="47"/>
        <v>-2.1632889397265455E-3</v>
      </c>
      <c r="D2469" s="31">
        <v>4278</v>
      </c>
      <c r="E2469" s="28">
        <f t="shared" si="47"/>
        <v>-8.5190096941524674E-3</v>
      </c>
    </row>
    <row r="2470" spans="1:5">
      <c r="A2470" s="30">
        <v>45219</v>
      </c>
      <c r="B2470" s="28">
        <v>172.43251000000001</v>
      </c>
      <c r="C2470" s="28">
        <f t="shared" si="47"/>
        <v>-1.4813454113881408E-2</v>
      </c>
      <c r="D2470" s="31">
        <v>4224.16</v>
      </c>
      <c r="E2470" s="28">
        <f t="shared" si="47"/>
        <v>-1.2665186185757991E-2</v>
      </c>
    </row>
    <row r="2471" spans="1:5">
      <c r="A2471" s="30">
        <v>45222</v>
      </c>
      <c r="B2471" s="28">
        <v>172.5522</v>
      </c>
      <c r="C2471" s="28">
        <f t="shared" si="47"/>
        <v>6.9388585251973416E-4</v>
      </c>
      <c r="D2471" s="31">
        <v>4217.04</v>
      </c>
      <c r="E2471" s="28">
        <f t="shared" si="47"/>
        <v>-1.6869643388467898E-3</v>
      </c>
    </row>
    <row r="2472" spans="1:5">
      <c r="A2472" s="30">
        <v>45223</v>
      </c>
      <c r="B2472" s="28">
        <v>172.99105800000001</v>
      </c>
      <c r="C2472" s="28">
        <f t="shared" si="47"/>
        <v>2.5401059103538751E-3</v>
      </c>
      <c r="D2472" s="31">
        <v>4247.68</v>
      </c>
      <c r="E2472" s="28">
        <f t="shared" si="47"/>
        <v>7.2394913997594025E-3</v>
      </c>
    </row>
    <row r="2473" spans="1:5">
      <c r="A2473" s="30">
        <v>45224</v>
      </c>
      <c r="B2473" s="28">
        <v>170.65713500000001</v>
      </c>
      <c r="C2473" s="28">
        <f t="shared" si="47"/>
        <v>-1.3583420098268099E-2</v>
      </c>
      <c r="D2473" s="31">
        <v>4186.7700000000004</v>
      </c>
      <c r="E2473" s="28">
        <f t="shared" si="47"/>
        <v>-1.4443397939346892E-2</v>
      </c>
    </row>
    <row r="2474" spans="1:5">
      <c r="A2474" s="30">
        <v>45225</v>
      </c>
      <c r="B2474" s="28">
        <v>166.458023</v>
      </c>
      <c r="C2474" s="28">
        <f t="shared" si="47"/>
        <v>-2.4913321682097169E-2</v>
      </c>
      <c r="D2474" s="31">
        <v>4137.2299999999996</v>
      </c>
      <c r="E2474" s="28">
        <f t="shared" si="47"/>
        <v>-1.1903071819740901E-2</v>
      </c>
    </row>
    <row r="2475" spans="1:5">
      <c r="A2475" s="30">
        <v>45226</v>
      </c>
      <c r="B2475" s="28">
        <v>167.78457599999999</v>
      </c>
      <c r="C2475" s="28">
        <f t="shared" si="47"/>
        <v>7.9377073368893034E-3</v>
      </c>
      <c r="D2475" s="31">
        <v>4117.37</v>
      </c>
      <c r="E2475" s="28">
        <f t="shared" si="47"/>
        <v>-4.811871761208667E-3</v>
      </c>
    </row>
    <row r="2476" spans="1:5">
      <c r="A2476" s="30">
        <v>45229</v>
      </c>
      <c r="B2476" s="28">
        <v>169.849197</v>
      </c>
      <c r="C2476" s="28">
        <f t="shared" si="47"/>
        <v>1.2230096037336938E-2</v>
      </c>
      <c r="D2476" s="31">
        <v>4166.82</v>
      </c>
      <c r="E2476" s="28">
        <f t="shared" si="47"/>
        <v>1.1938544947970331E-2</v>
      </c>
    </row>
    <row r="2477" spans="1:5">
      <c r="A2477" s="30">
        <v>45230</v>
      </c>
      <c r="B2477" s="28">
        <v>170.32797199999999</v>
      </c>
      <c r="C2477" s="28">
        <f t="shared" si="47"/>
        <v>2.8148586075643703E-3</v>
      </c>
      <c r="D2477" s="31">
        <v>4193.8</v>
      </c>
      <c r="E2477" s="28">
        <f t="shared" si="47"/>
        <v>6.4540892074659807E-3</v>
      </c>
    </row>
    <row r="2478" spans="1:5">
      <c r="A2478" s="30">
        <v>45231</v>
      </c>
      <c r="B2478" s="28">
        <v>173.51968400000001</v>
      </c>
      <c r="C2478" s="28">
        <f t="shared" si="47"/>
        <v>1.8565219899170135E-2</v>
      </c>
      <c r="D2478" s="31">
        <v>4237.8599999999997</v>
      </c>
      <c r="E2478" s="28">
        <f t="shared" si="47"/>
        <v>1.0451180679737281E-2</v>
      </c>
    </row>
    <row r="2479" spans="1:5">
      <c r="A2479" s="30">
        <v>45232</v>
      </c>
      <c r="B2479" s="28">
        <v>177.11038199999999</v>
      </c>
      <c r="C2479" s="28">
        <f t="shared" si="47"/>
        <v>2.0482119916649739E-2</v>
      </c>
      <c r="D2479" s="31">
        <v>4317.78</v>
      </c>
      <c r="E2479" s="28">
        <f t="shared" si="47"/>
        <v>1.8682956430735833E-2</v>
      </c>
    </row>
    <row r="2480" spans="1:5">
      <c r="A2480" s="30">
        <v>45233</v>
      </c>
      <c r="B2480" s="28">
        <v>176.19274899999999</v>
      </c>
      <c r="C2480" s="28">
        <f t="shared" si="47"/>
        <v>-5.1946047624671886E-3</v>
      </c>
      <c r="D2480" s="31">
        <v>4358.34</v>
      </c>
      <c r="E2480" s="28">
        <f t="shared" si="47"/>
        <v>9.3498696374369732E-3</v>
      </c>
    </row>
    <row r="2481" spans="1:5">
      <c r="A2481" s="30">
        <v>45236</v>
      </c>
      <c r="B2481" s="28">
        <v>178.76606799999999</v>
      </c>
      <c r="C2481" s="28">
        <f t="shared" si="47"/>
        <v>1.4499507887840418E-2</v>
      </c>
      <c r="D2481" s="31">
        <v>4365.9799999999996</v>
      </c>
      <c r="E2481" s="28">
        <f t="shared" si="47"/>
        <v>1.7514263468030517E-3</v>
      </c>
    </row>
    <row r="2482" spans="1:5">
      <c r="A2482" s="30">
        <v>45237</v>
      </c>
      <c r="B2482" s="28">
        <v>181.34936500000001</v>
      </c>
      <c r="C2482" s="28">
        <f t="shared" si="47"/>
        <v>1.4347295763114181E-2</v>
      </c>
      <c r="D2482" s="31">
        <v>4378.38</v>
      </c>
      <c r="E2482" s="28">
        <f t="shared" si="47"/>
        <v>2.8361156932399829E-3</v>
      </c>
    </row>
    <row r="2483" spans="1:5">
      <c r="A2483" s="30">
        <v>45238</v>
      </c>
      <c r="B2483" s="28">
        <v>182.416595</v>
      </c>
      <c r="C2483" s="28">
        <f t="shared" si="47"/>
        <v>5.8676906549509668E-3</v>
      </c>
      <c r="D2483" s="31">
        <v>4382.78</v>
      </c>
      <c r="E2483" s="28">
        <f t="shared" si="47"/>
        <v>1.0044332873557552E-3</v>
      </c>
    </row>
    <row r="2484" spans="1:5">
      <c r="A2484" s="30">
        <v>45239</v>
      </c>
      <c r="B2484" s="28">
        <v>181.937836</v>
      </c>
      <c r="C2484" s="28">
        <f t="shared" si="47"/>
        <v>-2.6279865691451625E-3</v>
      </c>
      <c r="D2484" s="31">
        <v>4347.3500000000004</v>
      </c>
      <c r="E2484" s="28">
        <f t="shared" si="47"/>
        <v>-8.1167621824379983E-3</v>
      </c>
    </row>
    <row r="2485" spans="1:5">
      <c r="A2485" s="30">
        <v>45240</v>
      </c>
      <c r="B2485" s="28">
        <v>186.16244499999999</v>
      </c>
      <c r="C2485" s="28">
        <f t="shared" si="47"/>
        <v>2.2954584478949148E-2</v>
      </c>
      <c r="D2485" s="31">
        <v>4415.24</v>
      </c>
      <c r="E2485" s="28">
        <f t="shared" si="47"/>
        <v>1.5495728650985885E-2</v>
      </c>
    </row>
    <row r="2486" spans="1:5">
      <c r="A2486" s="30">
        <v>45243</v>
      </c>
      <c r="B2486" s="28">
        <v>184.56449900000001</v>
      </c>
      <c r="C2486" s="28">
        <f t="shared" si="47"/>
        <v>-8.6206623063423502E-3</v>
      </c>
      <c r="D2486" s="31">
        <v>4411.55</v>
      </c>
      <c r="E2486" s="28">
        <f t="shared" si="47"/>
        <v>-8.3609108519786131E-4</v>
      </c>
    </row>
    <row r="2487" spans="1:5">
      <c r="A2487" s="30">
        <v>45244</v>
      </c>
      <c r="B2487" s="28">
        <v>187.20112599999999</v>
      </c>
      <c r="C2487" s="28">
        <f t="shared" si="47"/>
        <v>1.4184588517877851E-2</v>
      </c>
      <c r="D2487" s="31">
        <v>4495.7</v>
      </c>
      <c r="E2487" s="28">
        <f t="shared" si="47"/>
        <v>1.8895282757298078E-2</v>
      </c>
    </row>
    <row r="2488" spans="1:5">
      <c r="A2488" s="30">
        <v>45245</v>
      </c>
      <c r="B2488" s="28">
        <v>187.770386</v>
      </c>
      <c r="C2488" s="28">
        <f t="shared" si="47"/>
        <v>3.0362863263894376E-3</v>
      </c>
      <c r="D2488" s="31">
        <v>4502.88</v>
      </c>
      <c r="E2488" s="28">
        <f t="shared" si="47"/>
        <v>1.5958076771483444E-3</v>
      </c>
    </row>
    <row r="2489" spans="1:5">
      <c r="A2489" s="30">
        <v>45246</v>
      </c>
      <c r="B2489" s="28">
        <v>189.46824599999999</v>
      </c>
      <c r="C2489" s="28">
        <f t="shared" si="47"/>
        <v>9.0015778901373217E-3</v>
      </c>
      <c r="D2489" s="31">
        <v>4508.24</v>
      </c>
      <c r="E2489" s="28">
        <f t="shared" si="47"/>
        <v>1.1896413835666805E-3</v>
      </c>
    </row>
    <row r="2490" spans="1:5">
      <c r="A2490" s="30">
        <v>45247</v>
      </c>
      <c r="B2490" s="28">
        <v>189.44825700000001</v>
      </c>
      <c r="C2490" s="28">
        <f t="shared" si="47"/>
        <v>-1.0550609361308402E-4</v>
      </c>
      <c r="D2490" s="31">
        <v>4514.0200000000004</v>
      </c>
      <c r="E2490" s="28">
        <f t="shared" si="47"/>
        <v>1.2812755985166719E-3</v>
      </c>
    </row>
    <row r="2491" spans="1:5">
      <c r="A2491" s="30">
        <v>45250</v>
      </c>
      <c r="B2491" s="28">
        <v>191.20600899999999</v>
      </c>
      <c r="C2491" s="28">
        <f t="shared" si="47"/>
        <v>9.2354908421443897E-3</v>
      </c>
      <c r="D2491" s="31">
        <v>4547.38</v>
      </c>
      <c r="E2491" s="28">
        <f t="shared" si="47"/>
        <v>7.3631338909269815E-3</v>
      </c>
    </row>
    <row r="2492" spans="1:5">
      <c r="A2492" s="30">
        <v>45251</v>
      </c>
      <c r="B2492" s="28">
        <v>190.39704900000001</v>
      </c>
      <c r="C2492" s="28">
        <f t="shared" si="47"/>
        <v>-4.2398046601497567E-3</v>
      </c>
      <c r="D2492" s="31">
        <v>4538.1899999999996</v>
      </c>
      <c r="E2492" s="28">
        <f t="shared" si="47"/>
        <v>-2.0229887908321687E-3</v>
      </c>
    </row>
    <row r="2493" spans="1:5">
      <c r="A2493" s="30">
        <v>45252</v>
      </c>
      <c r="B2493" s="28">
        <v>191.066193</v>
      </c>
      <c r="C2493" s="28">
        <f t="shared" si="47"/>
        <v>3.50830493036026E-3</v>
      </c>
      <c r="D2493" s="31">
        <v>4556.62</v>
      </c>
      <c r="E2493" s="28">
        <f t="shared" si="47"/>
        <v>4.0528664649777243E-3</v>
      </c>
    </row>
    <row r="2494" spans="1:5">
      <c r="A2494" s="30">
        <v>45254</v>
      </c>
      <c r="B2494" s="28">
        <v>189.72790499999999</v>
      </c>
      <c r="C2494" s="28">
        <f t="shared" si="47"/>
        <v>-7.0289614099192689E-3</v>
      </c>
      <c r="D2494" s="31">
        <v>4559.34</v>
      </c>
      <c r="E2494" s="28">
        <f t="shared" si="47"/>
        <v>5.9675559803246874E-4</v>
      </c>
    </row>
    <row r="2495" spans="1:5">
      <c r="A2495" s="30">
        <v>45257</v>
      </c>
      <c r="B2495" s="28">
        <v>189.548126</v>
      </c>
      <c r="C2495" s="28">
        <f t="shared" si="47"/>
        <v>-9.4801146800824014E-4</v>
      </c>
      <c r="D2495" s="31">
        <v>4550.43</v>
      </c>
      <c r="E2495" s="28">
        <f t="shared" si="47"/>
        <v>-1.9561422168003027E-3</v>
      </c>
    </row>
    <row r="2496" spans="1:5">
      <c r="A2496" s="30">
        <v>45258</v>
      </c>
      <c r="B2496" s="28">
        <v>190.15734900000001</v>
      </c>
      <c r="C2496" s="28">
        <f t="shared" si="47"/>
        <v>3.2089267228749795E-3</v>
      </c>
      <c r="D2496" s="31">
        <v>4554.8900000000003</v>
      </c>
      <c r="E2496" s="28">
        <f t="shared" si="47"/>
        <v>9.7964714182290037E-4</v>
      </c>
    </row>
    <row r="2497" spans="1:5">
      <c r="A2497" s="30">
        <v>45259</v>
      </c>
      <c r="B2497" s="28">
        <v>189.12866199999999</v>
      </c>
      <c r="C2497" s="28">
        <f t="shared" si="47"/>
        <v>-5.4243472865661878E-3</v>
      </c>
      <c r="D2497" s="31">
        <v>4550.58</v>
      </c>
      <c r="E2497" s="28">
        <f t="shared" si="47"/>
        <v>-9.4668376742538802E-4</v>
      </c>
    </row>
    <row r="2498" spans="1:5">
      <c r="A2498" s="30">
        <v>45260</v>
      </c>
      <c r="B2498" s="28">
        <v>189.70791600000001</v>
      </c>
      <c r="C2498" s="28">
        <f t="shared" si="47"/>
        <v>3.0580703398812034E-3</v>
      </c>
      <c r="D2498" s="31">
        <v>4567.8</v>
      </c>
      <c r="E2498" s="28">
        <f t="shared" si="47"/>
        <v>3.7769911916856066E-3</v>
      </c>
    </row>
    <row r="2499" spans="1:5">
      <c r="A2499" s="30">
        <v>45261</v>
      </c>
      <c r="B2499" s="28">
        <v>190.99629200000001</v>
      </c>
      <c r="C2499" s="28">
        <f t="shared" si="47"/>
        <v>6.7684091294197861E-3</v>
      </c>
      <c r="D2499" s="31">
        <v>4594.63</v>
      </c>
      <c r="E2499" s="28">
        <f t="shared" si="47"/>
        <v>5.8565417006152948E-3</v>
      </c>
    </row>
    <row r="2500" spans="1:5">
      <c r="A2500" s="30">
        <v>45264</v>
      </c>
      <c r="B2500" s="28">
        <v>189.18858299999999</v>
      </c>
      <c r="C2500" s="28">
        <f t="shared" si="47"/>
        <v>-9.5097030003823586E-3</v>
      </c>
      <c r="D2500" s="31">
        <v>4569.78</v>
      </c>
      <c r="E2500" s="28">
        <f t="shared" si="47"/>
        <v>-5.4231665551195962E-3</v>
      </c>
    </row>
    <row r="2501" spans="1:5">
      <c r="A2501" s="30">
        <v>45265</v>
      </c>
      <c r="B2501" s="28">
        <v>193.173508</v>
      </c>
      <c r="C2501" s="28">
        <f t="shared" ref="C2501:E2518" si="48">LN(B2501/B2500)</f>
        <v>2.0844478977871075E-2</v>
      </c>
      <c r="D2501" s="31">
        <v>4567.18</v>
      </c>
      <c r="E2501" s="28">
        <f t="shared" si="48"/>
        <v>-5.691170958779145E-4</v>
      </c>
    </row>
    <row r="2502" spans="1:5">
      <c r="A2502" s="30">
        <v>45266</v>
      </c>
      <c r="B2502" s="28">
        <v>192.07492099999999</v>
      </c>
      <c r="C2502" s="28">
        <f t="shared" si="48"/>
        <v>-5.7032807671627004E-3</v>
      </c>
      <c r="D2502" s="31">
        <v>4549.34</v>
      </c>
      <c r="E2502" s="28">
        <f t="shared" si="48"/>
        <v>-3.9137791113844191E-3</v>
      </c>
    </row>
    <row r="2503" spans="1:5">
      <c r="A2503" s="30">
        <v>45267</v>
      </c>
      <c r="B2503" s="28">
        <v>194.02243000000001</v>
      </c>
      <c r="C2503" s="28">
        <f t="shared" si="48"/>
        <v>1.0088261480775155E-2</v>
      </c>
      <c r="D2503" s="31">
        <v>4585.59</v>
      </c>
      <c r="E2503" s="28">
        <f t="shared" si="48"/>
        <v>7.9366104133129379E-3</v>
      </c>
    </row>
    <row r="2504" spans="1:5">
      <c r="A2504" s="30">
        <v>45268</v>
      </c>
      <c r="B2504" s="28">
        <v>195.460587</v>
      </c>
      <c r="C2504" s="28">
        <f t="shared" si="48"/>
        <v>7.3849871414656343E-3</v>
      </c>
      <c r="D2504" s="31">
        <v>4604.37</v>
      </c>
      <c r="E2504" s="28">
        <f t="shared" si="48"/>
        <v>4.0870746210065929E-3</v>
      </c>
    </row>
    <row r="2505" spans="1:5">
      <c r="A2505" s="30">
        <v>45271</v>
      </c>
      <c r="B2505" s="28">
        <v>192.933807</v>
      </c>
      <c r="C2505" s="28">
        <f t="shared" si="48"/>
        <v>-1.3011596912504491E-2</v>
      </c>
      <c r="D2505" s="31">
        <v>4622.4399999999996</v>
      </c>
      <c r="E2505" s="28">
        <f t="shared" si="48"/>
        <v>3.9168516750811289E-3</v>
      </c>
    </row>
    <row r="2506" spans="1:5">
      <c r="A2506" s="30">
        <v>45272</v>
      </c>
      <c r="B2506" s="28">
        <v>194.46186800000001</v>
      </c>
      <c r="C2506" s="28">
        <f t="shared" si="48"/>
        <v>7.8889312583485145E-3</v>
      </c>
      <c r="D2506" s="31">
        <v>4643.7</v>
      </c>
      <c r="E2506" s="28">
        <f t="shared" si="48"/>
        <v>4.5887580600857377E-3</v>
      </c>
    </row>
    <row r="2507" spans="1:5">
      <c r="A2507" s="30">
        <v>45273</v>
      </c>
      <c r="B2507" s="28">
        <v>197.707718</v>
      </c>
      <c r="C2507" s="28">
        <f t="shared" si="48"/>
        <v>1.6553675938443445E-2</v>
      </c>
      <c r="D2507" s="31">
        <v>4707.09</v>
      </c>
      <c r="E2507" s="28">
        <f t="shared" si="48"/>
        <v>1.3558420429298217E-2</v>
      </c>
    </row>
    <row r="2508" spans="1:5">
      <c r="A2508" s="30">
        <v>45274</v>
      </c>
      <c r="B2508" s="28">
        <v>197.857529</v>
      </c>
      <c r="C2508" s="28">
        <f t="shared" si="48"/>
        <v>7.5745282629765805E-4</v>
      </c>
      <c r="D2508" s="31">
        <v>4719.55</v>
      </c>
      <c r="E2508" s="28">
        <f t="shared" si="48"/>
        <v>2.6435733742609306E-3</v>
      </c>
    </row>
    <row r="2509" spans="1:5">
      <c r="A2509" s="30">
        <v>45275</v>
      </c>
      <c r="B2509" s="28">
        <v>197.31822199999999</v>
      </c>
      <c r="C2509" s="28">
        <f t="shared" si="48"/>
        <v>-2.7294556077985957E-3</v>
      </c>
      <c r="D2509" s="31">
        <v>4719.1899999999996</v>
      </c>
      <c r="E2509" s="28">
        <f t="shared" si="48"/>
        <v>-7.6281368101049259E-5</v>
      </c>
    </row>
    <row r="2510" spans="1:5">
      <c r="A2510" s="30">
        <v>45278</v>
      </c>
      <c r="B2510" s="28">
        <v>195.64035000000001</v>
      </c>
      <c r="C2510" s="28">
        <f t="shared" si="48"/>
        <v>-8.5397409112105624E-3</v>
      </c>
      <c r="D2510" s="31">
        <v>4740.5600000000004</v>
      </c>
      <c r="E2510" s="28">
        <f t="shared" si="48"/>
        <v>4.5180974872495441E-3</v>
      </c>
    </row>
    <row r="2511" spans="1:5">
      <c r="A2511" s="30">
        <v>45279</v>
      </c>
      <c r="B2511" s="28">
        <v>196.68902600000001</v>
      </c>
      <c r="C2511" s="28">
        <f t="shared" si="48"/>
        <v>5.3459086249267821E-3</v>
      </c>
      <c r="D2511" s="31">
        <v>4768.37</v>
      </c>
      <c r="E2511" s="28">
        <f t="shared" si="48"/>
        <v>5.8492552349014293E-3</v>
      </c>
    </row>
    <row r="2512" spans="1:5">
      <c r="A2512" s="30">
        <v>45280</v>
      </c>
      <c r="B2512" s="28">
        <v>194.58171100000001</v>
      </c>
      <c r="C2512" s="28">
        <f t="shared" si="48"/>
        <v>-1.0771750487680479E-2</v>
      </c>
      <c r="D2512" s="31">
        <v>4698.3500000000004</v>
      </c>
      <c r="E2512" s="28">
        <f t="shared" si="48"/>
        <v>-1.4793144174519959E-2</v>
      </c>
    </row>
    <row r="2513" spans="1:5">
      <c r="A2513" s="30">
        <v>45281</v>
      </c>
      <c r="B2513" s="28">
        <v>194.43188499999999</v>
      </c>
      <c r="C2513" s="28">
        <f t="shared" si="48"/>
        <v>-7.7028674035433363E-4</v>
      </c>
      <c r="D2513" s="31">
        <v>4746.75</v>
      </c>
      <c r="E2513" s="28">
        <f t="shared" si="48"/>
        <v>1.024879009249407E-2</v>
      </c>
    </row>
    <row r="2514" spans="1:5">
      <c r="A2514" s="30">
        <v>45282</v>
      </c>
      <c r="B2514" s="28">
        <v>193.35328699999999</v>
      </c>
      <c r="C2514" s="28">
        <f t="shared" si="48"/>
        <v>-5.5628778992510251E-3</v>
      </c>
      <c r="D2514" s="31">
        <v>4754.63</v>
      </c>
      <c r="E2514" s="28">
        <f t="shared" si="48"/>
        <v>1.6587067997896167E-3</v>
      </c>
    </row>
    <row r="2515" spans="1:5">
      <c r="A2515" s="30">
        <v>45286</v>
      </c>
      <c r="B2515" s="28">
        <v>192.80398600000001</v>
      </c>
      <c r="C2515" s="28">
        <f t="shared" si="48"/>
        <v>-2.84496193080738E-3</v>
      </c>
      <c r="D2515" s="31">
        <v>4774.75</v>
      </c>
      <c r="E2515" s="28">
        <f t="shared" si="48"/>
        <v>4.2227363999498384E-3</v>
      </c>
    </row>
    <row r="2516" spans="1:5">
      <c r="A2516" s="30">
        <v>45287</v>
      </c>
      <c r="B2516" s="28">
        <v>192.903839</v>
      </c>
      <c r="C2516" s="28">
        <f t="shared" si="48"/>
        <v>5.1776498042631651E-4</v>
      </c>
      <c r="D2516" s="31">
        <v>4781.58</v>
      </c>
      <c r="E2516" s="28">
        <f t="shared" si="48"/>
        <v>1.429419277681746E-3</v>
      </c>
    </row>
    <row r="2517" spans="1:5">
      <c r="A2517" s="30">
        <v>45288</v>
      </c>
      <c r="B2517" s="28">
        <v>193.33329800000001</v>
      </c>
      <c r="C2517" s="28">
        <f t="shared" si="48"/>
        <v>2.2238108966973502E-3</v>
      </c>
      <c r="D2517" s="31">
        <v>4783.3500000000004</v>
      </c>
      <c r="E2517" s="28">
        <f t="shared" si="48"/>
        <v>3.7010203319937546E-4</v>
      </c>
    </row>
    <row r="2518" spans="1:5">
      <c r="A2518" s="30">
        <v>45289</v>
      </c>
      <c r="B2518" s="28">
        <v>192.284637</v>
      </c>
      <c r="C2518" s="28">
        <f t="shared" si="48"/>
        <v>-5.4388735060553299E-3</v>
      </c>
      <c r="D2518" s="31">
        <v>4769.83</v>
      </c>
      <c r="E2518" s="28">
        <f t="shared" si="48"/>
        <v>-2.8304729998547477E-3</v>
      </c>
    </row>
  </sheetData>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A2CA-5961-4041-963C-F4750AB97883}">
  <dimension ref="A2:D17"/>
  <sheetViews>
    <sheetView zoomScale="158" workbookViewId="0">
      <selection activeCell="B17" sqref="B17"/>
    </sheetView>
  </sheetViews>
  <sheetFormatPr baseColWidth="10" defaultRowHeight="16"/>
  <cols>
    <col min="1" max="1" width="24.1640625" style="29" bestFit="1" customWidth="1"/>
    <col min="2" max="2" width="13.5" style="29" customWidth="1"/>
    <col min="3" max="16384" width="10.83203125" style="29"/>
  </cols>
  <sheetData>
    <row r="2" spans="1:4">
      <c r="A2" s="29" t="s">
        <v>506</v>
      </c>
      <c r="B2" s="95">
        <f>beta!T2</f>
        <v>1.1948597104287644</v>
      </c>
    </row>
    <row r="4" spans="1:4">
      <c r="A4" s="29" t="s">
        <v>581</v>
      </c>
      <c r="B4" s="92">
        <v>4.4299999999999999E-2</v>
      </c>
      <c r="C4" s="93">
        <v>45366</v>
      </c>
      <c r="D4" s="29" t="s">
        <v>582</v>
      </c>
    </row>
    <row r="5" spans="1:4">
      <c r="A5" s="29" t="s">
        <v>684</v>
      </c>
      <c r="B5" s="35">
        <v>0.06</v>
      </c>
    </row>
    <row r="6" spans="1:4">
      <c r="A6" s="29" t="s">
        <v>583</v>
      </c>
      <c r="B6" s="35">
        <f>B4+B2*B5</f>
        <v>0.11599158262572587</v>
      </c>
      <c r="C6" s="29" t="s">
        <v>584</v>
      </c>
    </row>
    <row r="7" spans="1:4">
      <c r="A7" s="29" t="s">
        <v>585</v>
      </c>
      <c r="B7" s="92">
        <v>5.0259999999999999E-2</v>
      </c>
      <c r="C7" s="93">
        <v>45366</v>
      </c>
      <c r="D7" s="29" t="s">
        <v>586</v>
      </c>
    </row>
    <row r="9" spans="1:4">
      <c r="A9" s="29" t="s">
        <v>587</v>
      </c>
      <c r="B9" s="125">
        <f>'Key Stats'!B53</f>
        <v>2665577.49822</v>
      </c>
      <c r="C9" s="93">
        <v>45366</v>
      </c>
    </row>
    <row r="10" spans="1:4">
      <c r="A10" s="29" t="s">
        <v>592</v>
      </c>
      <c r="B10" s="105">
        <f>BS!Q20</f>
        <v>32942</v>
      </c>
      <c r="C10" s="29" t="s">
        <v>673</v>
      </c>
    </row>
    <row r="12" spans="1:4">
      <c r="A12" s="29" t="s">
        <v>593</v>
      </c>
      <c r="B12" s="34">
        <f>B9/(B9+B10)</f>
        <v>0.9877925655079649</v>
      </c>
    </row>
    <row r="13" spans="1:4">
      <c r="A13" s="29" t="s">
        <v>594</v>
      </c>
      <c r="B13" s="34">
        <f>B10/(B9+B10)</f>
        <v>1.220743449203507E-2</v>
      </c>
    </row>
    <row r="15" spans="1:4">
      <c r="A15" s="29" t="s">
        <v>600</v>
      </c>
      <c r="B15" s="35">
        <f>IS!O84</f>
        <v>0.14919579658453103</v>
      </c>
      <c r="C15" s="29" t="s">
        <v>608</v>
      </c>
    </row>
    <row r="17" spans="1:2">
      <c r="A17" s="29" t="s">
        <v>601</v>
      </c>
      <c r="B17" s="112">
        <f>B12*B6+B13*B7*(1-B15)</f>
        <v>0.11509763020364243</v>
      </c>
    </row>
  </sheetData>
  <phoneticPr fontId="2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C23B-EA7D-3F4C-8041-82077E1C5579}">
  <dimension ref="A1:AS44"/>
  <sheetViews>
    <sheetView workbookViewId="0">
      <pane xSplit="1" ySplit="1" topLeftCell="AG13" activePane="bottomRight" state="frozen"/>
      <selection pane="topRight" activeCell="B1" sqref="B1"/>
      <selection pane="bottomLeft" activeCell="A2" sqref="A2"/>
      <selection pane="bottomRight" activeCell="AP39" sqref="AP39"/>
    </sheetView>
  </sheetViews>
  <sheetFormatPr baseColWidth="10" defaultRowHeight="16"/>
  <cols>
    <col min="1" max="37" width="10.83203125" style="29"/>
    <col min="38" max="38" width="11" style="29" customWidth="1"/>
    <col min="39" max="16384" width="10.83203125" style="29"/>
  </cols>
  <sheetData>
    <row r="1" spans="1:45">
      <c r="A1" s="37"/>
      <c r="B1" s="37" t="s">
        <v>559</v>
      </c>
      <c r="C1" s="37" t="s">
        <v>560</v>
      </c>
      <c r="D1" s="37" t="s">
        <v>561</v>
      </c>
      <c r="E1" s="37" t="s">
        <v>562</v>
      </c>
      <c r="F1" s="37" t="s">
        <v>563</v>
      </c>
      <c r="G1" s="37" t="s">
        <v>564</v>
      </c>
      <c r="H1" s="37" t="s">
        <v>565</v>
      </c>
      <c r="I1" s="37" t="s">
        <v>566</v>
      </c>
      <c r="J1" s="37" t="s">
        <v>567</v>
      </c>
      <c r="K1" s="37" t="s">
        <v>568</v>
      </c>
      <c r="L1" s="37" t="s">
        <v>569</v>
      </c>
      <c r="M1" s="37" t="s">
        <v>570</v>
      </c>
      <c r="N1" s="37" t="s">
        <v>571</v>
      </c>
      <c r="O1" s="37" t="s">
        <v>572</v>
      </c>
      <c r="P1" s="37" t="s">
        <v>547</v>
      </c>
      <c r="Q1" s="37" t="s">
        <v>548</v>
      </c>
      <c r="R1" s="37" t="s">
        <v>573</v>
      </c>
      <c r="S1" s="37" t="s">
        <v>574</v>
      </c>
      <c r="T1" s="37" t="s">
        <v>549</v>
      </c>
      <c r="U1" s="37" t="s">
        <v>550</v>
      </c>
      <c r="V1" s="37" t="s">
        <v>575</v>
      </c>
      <c r="W1" s="37" t="s">
        <v>576</v>
      </c>
      <c r="X1" s="37" t="s">
        <v>551</v>
      </c>
      <c r="Y1" s="37" t="s">
        <v>552</v>
      </c>
      <c r="Z1" s="37" t="s">
        <v>577</v>
      </c>
      <c r="AA1" s="37" t="s">
        <v>578</v>
      </c>
      <c r="AB1" s="37" t="s">
        <v>553</v>
      </c>
      <c r="AC1" s="37" t="s">
        <v>554</v>
      </c>
      <c r="AD1" s="37" t="s">
        <v>579</v>
      </c>
      <c r="AE1" s="37" t="s">
        <v>580</v>
      </c>
      <c r="AF1" s="37" t="s">
        <v>555</v>
      </c>
      <c r="AG1" s="37" t="s">
        <v>556</v>
      </c>
      <c r="AH1" s="37" t="s">
        <v>558</v>
      </c>
      <c r="AI1" s="37" t="s">
        <v>557</v>
      </c>
      <c r="AJ1" s="37" t="s">
        <v>546</v>
      </c>
      <c r="AK1" s="37" t="s">
        <v>545</v>
      </c>
      <c r="AL1" s="37" t="s">
        <v>603</v>
      </c>
      <c r="AM1" s="37" t="s">
        <v>621</v>
      </c>
      <c r="AN1" s="37" t="s">
        <v>622</v>
      </c>
      <c r="AO1" s="37" t="s">
        <v>623</v>
      </c>
      <c r="AP1" s="37" t="s">
        <v>624</v>
      </c>
      <c r="AQ1" s="37" t="s">
        <v>625</v>
      </c>
      <c r="AR1" s="37" t="s">
        <v>626</v>
      </c>
      <c r="AS1" s="37" t="s">
        <v>627</v>
      </c>
    </row>
    <row r="2" spans="1:45">
      <c r="A2" s="39" t="s">
        <v>532</v>
      </c>
      <c r="B2" s="40">
        <v>51182</v>
      </c>
      <c r="C2" s="40">
        <v>40282</v>
      </c>
      <c r="D2" s="40">
        <v>31368</v>
      </c>
      <c r="E2" s="40">
        <f>'[1]Segment Sales-Annual'!F2-SUM('[1]Segment Sales-Qty'!B2:D2)</f>
        <v>32209</v>
      </c>
      <c r="F2" s="40">
        <v>51635</v>
      </c>
      <c r="G2" s="40">
        <v>32857</v>
      </c>
      <c r="H2" s="40">
        <v>24048</v>
      </c>
      <c r="I2" s="40">
        <f>'[1]Segment Sales-Annual'!G2-SUM('[1]Segment Sales-Qty'!F2:H2)</f>
        <v>28160</v>
      </c>
      <c r="J2" s="40">
        <v>54378</v>
      </c>
      <c r="K2" s="40">
        <v>33249</v>
      </c>
      <c r="L2" s="40">
        <v>24846</v>
      </c>
      <c r="M2" s="41">
        <f>'[1]Segment Sales-Annual'!H2-SUM('[1]Segment Sales-Qty'!J2:L2)</f>
        <v>26864</v>
      </c>
      <c r="N2" s="40">
        <v>61104</v>
      </c>
      <c r="O2" s="40">
        <v>37559</v>
      </c>
      <c r="P2" s="40">
        <v>29470</v>
      </c>
      <c r="Q2" s="40">
        <f>'[1]Segment Sales-Annual'!I2-SUM('[1]Segment Sales-Qty'!N2:P2)</f>
        <v>36755</v>
      </c>
      <c r="R2" s="40">
        <v>51982</v>
      </c>
      <c r="S2" s="40">
        <v>31051</v>
      </c>
      <c r="T2" s="40">
        <v>25986</v>
      </c>
      <c r="U2" s="40">
        <f>'[1]Segment Sales-Annual'!J2-SUM('[1]Segment Sales-Qty'!R2:T2)</f>
        <v>33362</v>
      </c>
      <c r="V2" s="40">
        <v>55957</v>
      </c>
      <c r="W2" s="40">
        <v>28962</v>
      </c>
      <c r="X2" s="40">
        <v>26418</v>
      </c>
      <c r="Y2" s="40">
        <f>'[1]Segment Sales-Annual'!K2-SUM('[1]Segment Sales-Qty'!V2:X2)</f>
        <v>26444</v>
      </c>
      <c r="Z2" s="40">
        <v>65597</v>
      </c>
      <c r="AA2" s="40">
        <v>47938</v>
      </c>
      <c r="AB2" s="40">
        <v>39570</v>
      </c>
      <c r="AC2" s="40">
        <f>'[1]Segment Sales-Annual'!L2-SUM('[1]Segment Sales-Qty'!Z2:AB2)</f>
        <v>38868</v>
      </c>
      <c r="AD2" s="40">
        <v>71628</v>
      </c>
      <c r="AE2" s="40">
        <v>50570</v>
      </c>
      <c r="AF2" s="42">
        <v>40665</v>
      </c>
      <c r="AG2" s="40">
        <v>42626</v>
      </c>
      <c r="AH2" s="40">
        <v>65775</v>
      </c>
      <c r="AI2" s="40">
        <v>51334</v>
      </c>
      <c r="AJ2" s="40">
        <v>39669</v>
      </c>
      <c r="AK2" s="40">
        <f>Segment_A!N2-SUM(Segment_Q!AH2:AJ2)</f>
        <v>43805</v>
      </c>
      <c r="AL2" s="40">
        <v>69702</v>
      </c>
      <c r="AM2" s="40">
        <f>AL2*(1+AM3)</f>
        <v>52276.5</v>
      </c>
      <c r="AN2" s="40">
        <f t="shared" ref="AN2:AS2" si="0">AM2*(1+AN3)</f>
        <v>43403.910700947505</v>
      </c>
      <c r="AO2" s="40">
        <f t="shared" si="0"/>
        <v>47046.147041640841</v>
      </c>
      <c r="AP2" s="40">
        <f t="shared" si="0"/>
        <v>78265.744468051285</v>
      </c>
      <c r="AQ2" s="40">
        <f t="shared" si="0"/>
        <v>54548.546165493746</v>
      </c>
      <c r="AR2" s="40">
        <f t="shared" si="0"/>
        <v>45218.271458098607</v>
      </c>
      <c r="AS2" s="40">
        <f t="shared" si="0"/>
        <v>47204.660039384849</v>
      </c>
    </row>
    <row r="3" spans="1:45">
      <c r="A3" s="43" t="s">
        <v>533</v>
      </c>
      <c r="B3" s="44"/>
      <c r="C3" s="45">
        <f>C2/B2-1</f>
        <v>-0.21296549568207568</v>
      </c>
      <c r="D3" s="45">
        <f t="shared" ref="D3:AJ3" si="1">D2/C2-1</f>
        <v>-0.22128990616156097</v>
      </c>
      <c r="E3" s="45">
        <f t="shared" si="1"/>
        <v>2.6810762560571355E-2</v>
      </c>
      <c r="F3" s="45">
        <f t="shared" si="1"/>
        <v>0.60312335061628741</v>
      </c>
      <c r="G3" s="45">
        <f t="shared" si="1"/>
        <v>-0.36366805461411833</v>
      </c>
      <c r="H3" s="45">
        <f t="shared" si="1"/>
        <v>-0.26810116565724196</v>
      </c>
      <c r="I3" s="45">
        <f t="shared" si="1"/>
        <v>0.17099135063206927</v>
      </c>
      <c r="J3" s="45">
        <f t="shared" si="1"/>
        <v>0.93103693181818192</v>
      </c>
      <c r="K3" s="45">
        <f t="shared" si="1"/>
        <v>-0.38855787266909414</v>
      </c>
      <c r="L3" s="45">
        <f t="shared" si="1"/>
        <v>-0.25272940539565103</v>
      </c>
      <c r="M3" s="46">
        <f t="shared" si="1"/>
        <v>8.122031715366651E-2</v>
      </c>
      <c r="N3" s="45"/>
      <c r="O3" s="45">
        <f t="shared" si="1"/>
        <v>-0.38532665619272066</v>
      </c>
      <c r="P3" s="45">
        <f t="shared" si="1"/>
        <v>-0.21536782129449661</v>
      </c>
      <c r="Q3" s="45">
        <f t="shared" si="1"/>
        <v>0.24720054292500859</v>
      </c>
      <c r="R3" s="45">
        <f t="shared" si="1"/>
        <v>0.4142837709155216</v>
      </c>
      <c r="S3" s="45">
        <f t="shared" si="1"/>
        <v>-0.40265861259666813</v>
      </c>
      <c r="T3" s="45">
        <f t="shared" si="1"/>
        <v>-0.16311874013719363</v>
      </c>
      <c r="U3" s="45">
        <f t="shared" si="1"/>
        <v>0.28384514738705446</v>
      </c>
      <c r="V3" s="45">
        <f t="shared" si="1"/>
        <v>0.67726754990707994</v>
      </c>
      <c r="W3" s="45">
        <f t="shared" si="1"/>
        <v>-0.4824240041460407</v>
      </c>
      <c r="X3" s="45">
        <f t="shared" si="1"/>
        <v>-8.7839237621711197E-2</v>
      </c>
      <c r="Y3" s="45">
        <f t="shared" si="1"/>
        <v>9.8417745476564455E-4</v>
      </c>
      <c r="Z3" s="45">
        <f t="shared" si="1"/>
        <v>1.4806005142943577</v>
      </c>
      <c r="AA3" s="45">
        <f t="shared" si="1"/>
        <v>-0.26920438434684513</v>
      </c>
      <c r="AB3" s="45">
        <f t="shared" si="1"/>
        <v>-0.17455880512328426</v>
      </c>
      <c r="AC3" s="45">
        <f t="shared" si="1"/>
        <v>-1.7740712661106883E-2</v>
      </c>
      <c r="AD3" s="45">
        <f t="shared" si="1"/>
        <v>0.84285273232479163</v>
      </c>
      <c r="AE3" s="45">
        <f t="shared" si="1"/>
        <v>-0.29399117663483554</v>
      </c>
      <c r="AF3" s="45">
        <f t="shared" si="1"/>
        <v>-0.1958671148902511</v>
      </c>
      <c r="AG3" s="45">
        <f t="shared" si="1"/>
        <v>4.8223287839665563E-2</v>
      </c>
      <c r="AH3" s="45">
        <f t="shared" si="1"/>
        <v>0.5430723032890723</v>
      </c>
      <c r="AI3" s="45">
        <f t="shared" si="1"/>
        <v>-0.21955150133029266</v>
      </c>
      <c r="AJ3" s="45">
        <f t="shared" si="1"/>
        <v>-0.22723730860638169</v>
      </c>
      <c r="AK3" s="45">
        <f t="shared" ref="AK3" si="2">AK2/AJ2-1</f>
        <v>0.10426277445864529</v>
      </c>
      <c r="AL3" s="45">
        <f t="shared" ref="AL3" si="3">AL2/AK2-1</f>
        <v>0.59118822052277142</v>
      </c>
      <c r="AM3" s="45">
        <f>-25%</f>
        <v>-0.25</v>
      </c>
      <c r="AN3" s="45">
        <f t="shared" ref="AN3:AS3" si="4">AVERAGE(AJ3,AF3,AB3,X3,T3)</f>
        <v>-0.16972424127576438</v>
      </c>
      <c r="AO3" s="45">
        <f t="shared" si="4"/>
        <v>8.3914934895804816E-2</v>
      </c>
      <c r="AP3" s="45">
        <f>AVERAGE(AL3,AH3,AD3,V3)</f>
        <v>0.66359520151092877</v>
      </c>
      <c r="AQ3" s="45">
        <f t="shared" si="4"/>
        <v>-0.30303421329160285</v>
      </c>
      <c r="AR3" s="45">
        <f t="shared" si="4"/>
        <v>-0.17104534150347853</v>
      </c>
      <c r="AS3" s="45">
        <f t="shared" si="4"/>
        <v>4.3928892397554889E-2</v>
      </c>
    </row>
    <row r="4" spans="1:45">
      <c r="A4" s="43" t="s">
        <v>534</v>
      </c>
      <c r="B4" s="44"/>
      <c r="C4" s="44"/>
      <c r="D4" s="44"/>
      <c r="E4" s="44"/>
      <c r="F4" s="45">
        <f>F2/B2-1</f>
        <v>8.8507678480715946E-3</v>
      </c>
      <c r="G4" s="45">
        <f t="shared" ref="G4:AL4" si="5">G2/C2-1</f>
        <v>-0.18432550518842161</v>
      </c>
      <c r="H4" s="45">
        <f t="shared" si="5"/>
        <v>-0.2333588370313695</v>
      </c>
      <c r="I4" s="45">
        <f t="shared" si="5"/>
        <v>-0.12571020522214293</v>
      </c>
      <c r="J4" s="45">
        <f t="shared" si="5"/>
        <v>5.3122881766243912E-2</v>
      </c>
      <c r="K4" s="45">
        <f t="shared" si="5"/>
        <v>1.1930486654289751E-2</v>
      </c>
      <c r="L4" s="45">
        <f t="shared" si="5"/>
        <v>3.3183632734530955E-2</v>
      </c>
      <c r="M4" s="46">
        <f t="shared" si="5"/>
        <v>-4.6022727272727271E-2</v>
      </c>
      <c r="N4" s="45"/>
      <c r="O4" s="45"/>
      <c r="P4" s="45"/>
      <c r="Q4" s="45"/>
      <c r="R4" s="45">
        <f t="shared" si="5"/>
        <v>-0.14928646242471855</v>
      </c>
      <c r="S4" s="45">
        <f t="shared" si="5"/>
        <v>-0.1732740488298411</v>
      </c>
      <c r="T4" s="45">
        <f t="shared" si="5"/>
        <v>-0.11822192059721748</v>
      </c>
      <c r="U4" s="45">
        <f t="shared" si="5"/>
        <v>-9.23139708883145E-2</v>
      </c>
      <c r="V4" s="45">
        <f t="shared" si="5"/>
        <v>7.6468777653803333E-2</v>
      </c>
      <c r="W4" s="45">
        <f t="shared" si="5"/>
        <v>-6.727641621847924E-2</v>
      </c>
      <c r="X4" s="45">
        <f t="shared" si="5"/>
        <v>1.6624336181020549E-2</v>
      </c>
      <c r="Y4" s="45">
        <f t="shared" si="5"/>
        <v>-0.20736166896469033</v>
      </c>
      <c r="Z4" s="45">
        <f t="shared" si="5"/>
        <v>0.1722751398395197</v>
      </c>
      <c r="AA4" s="45">
        <f t="shared" si="5"/>
        <v>0.65520336993301576</v>
      </c>
      <c r="AB4" s="45">
        <f t="shared" si="5"/>
        <v>0.49784238019532134</v>
      </c>
      <c r="AC4" s="45">
        <f t="shared" si="5"/>
        <v>0.46982302223566785</v>
      </c>
      <c r="AD4" s="45">
        <f t="shared" si="5"/>
        <v>9.1940180191167231E-2</v>
      </c>
      <c r="AE4" s="45">
        <f t="shared" si="5"/>
        <v>5.4904251324627618E-2</v>
      </c>
      <c r="AF4" s="47">
        <f t="shared" si="5"/>
        <v>2.7672479150871787E-2</v>
      </c>
      <c r="AG4" s="45">
        <f t="shared" si="5"/>
        <v>9.6686220026757308E-2</v>
      </c>
      <c r="AH4" s="45">
        <f t="shared" si="5"/>
        <v>-8.1713854917071505E-2</v>
      </c>
      <c r="AI4" s="45">
        <f t="shared" si="5"/>
        <v>1.510777140597197E-2</v>
      </c>
      <c r="AJ4" s="45">
        <f t="shared" si="5"/>
        <v>-2.4492807082257428E-2</v>
      </c>
      <c r="AK4" s="45">
        <f t="shared" si="5"/>
        <v>2.7659175151315996E-2</v>
      </c>
      <c r="AL4" s="45">
        <f t="shared" si="5"/>
        <v>5.9703534777651113E-2</v>
      </c>
      <c r="AM4" s="45">
        <f t="shared" ref="AM4" si="6">AM2/AI2-1</f>
        <v>1.8360151166868066E-2</v>
      </c>
      <c r="AN4" s="45">
        <f t="shared" ref="AN4" si="7">AN2/AJ2-1</f>
        <v>9.4151874283382675E-2</v>
      </c>
      <c r="AO4" s="45">
        <f t="shared" ref="AO4" si="8">AO2/AK2-1</f>
        <v>7.3990344518681361E-2</v>
      </c>
      <c r="AP4" s="45">
        <f t="shared" ref="AP4" si="9">AP2/AL2-1</f>
        <v>0.12286224883147234</v>
      </c>
      <c r="AQ4" s="45">
        <f t="shared" ref="AQ4" si="10">AQ2/AM2-1</f>
        <v>4.3462094162649567E-2</v>
      </c>
      <c r="AR4" s="45">
        <f t="shared" ref="AR4" si="11">AR2/AN2-1</f>
        <v>4.1801780711697267E-2</v>
      </c>
      <c r="AS4" s="45">
        <f t="shared" ref="AS4" si="12">AS2/AO2-1</f>
        <v>3.3693088108512903E-3</v>
      </c>
    </row>
    <row r="5" spans="1:45">
      <c r="A5" s="37" t="s">
        <v>688</v>
      </c>
      <c r="B5" s="48">
        <f>B2/B$32</f>
        <v>0.68609498786847012</v>
      </c>
      <c r="C5" s="48">
        <f t="shared" ref="C5:AK5" si="13">C2/C$32</f>
        <v>0.6943975176693673</v>
      </c>
      <c r="D5" s="48">
        <f t="shared" si="13"/>
        <v>0.63235560931357726</v>
      </c>
      <c r="E5" s="48">
        <f t="shared" si="13"/>
        <v>0.62540533193530223</v>
      </c>
      <c r="F5" s="48">
        <f t="shared" si="13"/>
        <v>0.68055409110080134</v>
      </c>
      <c r="G5" s="48">
        <f t="shared" si="13"/>
        <v>0.64990011274403148</v>
      </c>
      <c r="H5" s="48">
        <f t="shared" si="13"/>
        <v>0.56773218754426558</v>
      </c>
      <c r="I5" s="48">
        <f t="shared" si="13"/>
        <v>0.60104157773414157</v>
      </c>
      <c r="J5" s="48">
        <f t="shared" si="13"/>
        <v>0.69403070796799016</v>
      </c>
      <c r="K5" s="48">
        <f t="shared" si="13"/>
        <v>0.62857304900181488</v>
      </c>
      <c r="L5" s="48">
        <f t="shared" si="13"/>
        <v>0.54717230443974629</v>
      </c>
      <c r="M5" s="49">
        <f t="shared" si="13"/>
        <v>0.51092641548907358</v>
      </c>
      <c r="N5" s="48">
        <f t="shared" si="13"/>
        <v>0.69205939315687537</v>
      </c>
      <c r="O5" s="48">
        <f t="shared" si="13"/>
        <v>0.61434156075698843</v>
      </c>
      <c r="P5" s="48">
        <f t="shared" si="13"/>
        <v>0.55327137895428513</v>
      </c>
      <c r="Q5" s="48">
        <f t="shared" si="13"/>
        <v>0.58434022257551665</v>
      </c>
      <c r="R5" s="48">
        <f t="shared" si="13"/>
        <v>0.61655794093227378</v>
      </c>
      <c r="S5" s="48">
        <f t="shared" si="13"/>
        <v>0.53522364905627851</v>
      </c>
      <c r="T5" s="48">
        <f t="shared" si="13"/>
        <v>0.48293036480886098</v>
      </c>
      <c r="U5" s="48">
        <f t="shared" si="13"/>
        <v>0.5209556527170518</v>
      </c>
      <c r="V5" s="48">
        <f t="shared" si="13"/>
        <v>0.60942724272754001</v>
      </c>
      <c r="W5" s="48">
        <f t="shared" si="13"/>
        <v>0.49666455164371581</v>
      </c>
      <c r="X5" s="48">
        <f t="shared" si="13"/>
        <v>0.44262377481779341</v>
      </c>
      <c r="Y5" s="48">
        <f t="shared" si="13"/>
        <v>0.40872979071996041</v>
      </c>
      <c r="Z5" s="48">
        <f t="shared" si="13"/>
        <v>0.5886359353547681</v>
      </c>
      <c r="AA5" s="48">
        <f t="shared" si="13"/>
        <v>0.53511787819253442</v>
      </c>
      <c r="AB5" s="48">
        <f t="shared" si="13"/>
        <v>0.48591497408944667</v>
      </c>
      <c r="AC5" s="48">
        <f t="shared" si="13"/>
        <v>0.46626679462571979</v>
      </c>
      <c r="AD5" s="48">
        <f t="shared" si="13"/>
        <v>0.57790148856347578</v>
      </c>
      <c r="AE5" s="48">
        <f>AE2/AE$32</f>
        <v>0.51985032587018642</v>
      </c>
      <c r="AF5" s="50">
        <f t="shared" si="13"/>
        <v>0.49018189708169096</v>
      </c>
      <c r="AG5" s="48">
        <f t="shared" si="13"/>
        <v>0.47285514609633261</v>
      </c>
      <c r="AH5" s="48">
        <f t="shared" si="13"/>
        <v>0.56144049712344435</v>
      </c>
      <c r="AI5" s="48">
        <f t="shared" si="13"/>
        <v>0.54129233624362061</v>
      </c>
      <c r="AJ5" s="48">
        <f t="shared" si="13"/>
        <v>0.48496888638947638</v>
      </c>
      <c r="AK5" s="48">
        <f t="shared" si="13"/>
        <v>0.48945227826320142</v>
      </c>
      <c r="AL5" s="48">
        <f t="shared" ref="AL5:AS5" si="14">AL2/AL$32</f>
        <v>0.58291448881455155</v>
      </c>
      <c r="AM5" s="48">
        <f t="shared" si="14"/>
        <v>0.53690529015467192</v>
      </c>
      <c r="AN5" s="48">
        <f t="shared" si="14"/>
        <v>0.4855341113598492</v>
      </c>
      <c r="AO5" s="48">
        <f t="shared" si="14"/>
        <v>0.48026363189593468</v>
      </c>
      <c r="AP5" s="48">
        <f t="shared" si="14"/>
        <v>0.5707730171865365</v>
      </c>
      <c r="AQ5" s="48">
        <f t="shared" si="14"/>
        <v>0.51236339037507261</v>
      </c>
      <c r="AR5" s="48">
        <f t="shared" si="14"/>
        <v>0.46342800574734205</v>
      </c>
      <c r="AS5" s="48">
        <f t="shared" si="14"/>
        <v>0.45117802705298821</v>
      </c>
    </row>
    <row r="6" spans="1:45">
      <c r="A6" s="37"/>
      <c r="B6" s="40"/>
      <c r="C6" s="40"/>
      <c r="D6" s="40"/>
      <c r="E6" s="40"/>
      <c r="F6" s="40"/>
      <c r="G6" s="40"/>
      <c r="H6" s="40"/>
      <c r="I6" s="40"/>
      <c r="J6" s="40"/>
      <c r="K6" s="40"/>
      <c r="L6" s="40"/>
      <c r="M6" s="41"/>
      <c r="N6" s="40"/>
      <c r="O6" s="40"/>
      <c r="P6" s="40"/>
      <c r="Q6" s="40"/>
      <c r="R6" s="40"/>
      <c r="S6" s="40"/>
      <c r="T6" s="40"/>
      <c r="U6" s="40"/>
      <c r="V6" s="40"/>
      <c r="W6" s="40"/>
      <c r="X6" s="40"/>
      <c r="Y6" s="40"/>
      <c r="Z6" s="40"/>
      <c r="AA6" s="37"/>
      <c r="AB6" s="37"/>
      <c r="AC6" s="37"/>
      <c r="AD6" s="37"/>
      <c r="AE6" s="37"/>
      <c r="AF6" s="37"/>
      <c r="AG6" s="37"/>
      <c r="AH6" s="37"/>
      <c r="AI6" s="37"/>
      <c r="AJ6" s="37"/>
      <c r="AK6" s="37"/>
      <c r="AL6" s="37"/>
      <c r="AM6" s="37"/>
      <c r="AN6" s="37"/>
      <c r="AO6" s="37"/>
      <c r="AP6" s="37"/>
      <c r="AQ6" s="37"/>
      <c r="AR6" s="37"/>
      <c r="AS6" s="37"/>
    </row>
    <row r="7" spans="1:45">
      <c r="A7" s="39" t="s">
        <v>535</v>
      </c>
      <c r="B7" s="40">
        <v>6944</v>
      </c>
      <c r="C7" s="40">
        <v>5615</v>
      </c>
      <c r="D7" s="40">
        <v>6030</v>
      </c>
      <c r="E7" s="40">
        <f>'[1]Segment Sales-Annual'!F3-SUM('[1]Segment Sales-Qty'!B7:D7)</f>
        <v>6882</v>
      </c>
      <c r="F7" s="40">
        <v>6746</v>
      </c>
      <c r="G7" s="40">
        <v>5107</v>
      </c>
      <c r="H7" s="40">
        <v>5239</v>
      </c>
      <c r="I7" s="40">
        <f>'[1]Segment Sales-Annual'!G3-SUM('[1]Segment Sales-Qty'!F7:H7)</f>
        <v>5739</v>
      </c>
      <c r="J7" s="40">
        <v>7244</v>
      </c>
      <c r="K7" s="40">
        <v>5844</v>
      </c>
      <c r="L7" s="40">
        <v>5592</v>
      </c>
      <c r="M7" s="41">
        <f>'[1]Segment Sales-Annual'!H3-SUM('[1]Segment Sales-Qty'!J7:L7)</f>
        <v>6889</v>
      </c>
      <c r="N7" s="40">
        <v>6824</v>
      </c>
      <c r="O7" s="40">
        <v>5776</v>
      </c>
      <c r="P7" s="40">
        <v>5258</v>
      </c>
      <c r="Q7" s="40">
        <f>'[1]Segment Sales-Annual'!I3-SUM('[1]Segment Sales-Qty'!N7:P7)</f>
        <v>7340</v>
      </c>
      <c r="R7" s="40">
        <v>7416</v>
      </c>
      <c r="S7" s="40">
        <v>5513</v>
      </c>
      <c r="T7" s="40">
        <v>5820</v>
      </c>
      <c r="U7" s="40">
        <f>'[1]Segment Sales-Annual'!J3-SUM('[1]Segment Sales-Qty'!R7:T7)</f>
        <v>6991</v>
      </c>
      <c r="V7" s="40">
        <v>7160</v>
      </c>
      <c r="W7" s="40">
        <v>5351</v>
      </c>
      <c r="X7" s="40">
        <v>7079</v>
      </c>
      <c r="Y7" s="40">
        <f>'[1]Segment Sales-Annual'!K3-SUM('[1]Segment Sales-Qty'!V7:X7)</f>
        <v>9032</v>
      </c>
      <c r="Z7" s="40">
        <v>8675</v>
      </c>
      <c r="AA7" s="40">
        <v>9102</v>
      </c>
      <c r="AB7" s="40">
        <v>8235</v>
      </c>
      <c r="AC7" s="40">
        <f>'[1]Segment Sales-Annual'!L3-SUM('[1]Segment Sales-Qty'!Z7:AB7)</f>
        <v>9178</v>
      </c>
      <c r="AD7" s="40">
        <v>10852</v>
      </c>
      <c r="AE7" s="40">
        <v>10435</v>
      </c>
      <c r="AF7" s="42">
        <v>7382</v>
      </c>
      <c r="AG7" s="40">
        <v>11508</v>
      </c>
      <c r="AH7" s="40">
        <v>7735</v>
      </c>
      <c r="AI7" s="40">
        <v>7168</v>
      </c>
      <c r="AJ7" s="40">
        <v>6840</v>
      </c>
      <c r="AK7" s="40">
        <f>Segment_A!N3-SUM(Segment_Q!AH7:AJ7)</f>
        <v>7614</v>
      </c>
      <c r="AL7" s="40">
        <v>7780</v>
      </c>
      <c r="AM7" s="40">
        <f>AL7*(1+AM8)</f>
        <v>6890.3284804629293</v>
      </c>
      <c r="AN7" s="40">
        <f t="shared" ref="AN7" si="15">AM7*(1+AN8)</f>
        <v>6814.5776727976008</v>
      </c>
      <c r="AO7" s="40">
        <f t="shared" ref="AO7" si="16">AN7*(1+AO8)</f>
        <v>8536.8741639834807</v>
      </c>
      <c r="AP7" s="40">
        <f t="shared" ref="AP7" si="17">AO7*(1+AP8)</f>
        <v>8299.5209754900243</v>
      </c>
      <c r="AQ7" s="40">
        <f t="shared" ref="AQ7" si="18">AP7*(1+AQ8)</f>
        <v>7586.5677911419643</v>
      </c>
      <c r="AR7" s="40">
        <f t="shared" ref="AR7" si="19">AQ7*(1+AR8)</f>
        <v>7401.9876823945597</v>
      </c>
      <c r="AS7" s="40">
        <f t="shared" ref="AS7" si="20">AR7*(1+AS8)</f>
        <v>9349.0357693344013</v>
      </c>
    </row>
    <row r="8" spans="1:45">
      <c r="A8" s="51" t="s">
        <v>533</v>
      </c>
      <c r="B8" s="52"/>
      <c r="C8" s="45">
        <f>C7/B7-1</f>
        <v>-0.19138824884792627</v>
      </c>
      <c r="D8" s="45">
        <f t="shared" ref="D8:AL8" si="21">D7/C7-1</f>
        <v>7.3909171861086476E-2</v>
      </c>
      <c r="E8" s="45">
        <f t="shared" si="21"/>
        <v>0.14129353233830844</v>
      </c>
      <c r="F8" s="45">
        <f t="shared" si="21"/>
        <v>-1.9761697181052029E-2</v>
      </c>
      <c r="G8" s="45">
        <f t="shared" si="21"/>
        <v>-0.24295879039430779</v>
      </c>
      <c r="H8" s="45">
        <f t="shared" si="21"/>
        <v>2.5846876835715626E-2</v>
      </c>
      <c r="I8" s="45">
        <f t="shared" si="21"/>
        <v>9.5438060698606497E-2</v>
      </c>
      <c r="J8" s="45">
        <f t="shared" si="21"/>
        <v>0.26224080850322351</v>
      </c>
      <c r="K8" s="45">
        <f t="shared" si="21"/>
        <v>-0.19326339039204854</v>
      </c>
      <c r="L8" s="45">
        <f t="shared" si="21"/>
        <v>-4.3121149897330624E-2</v>
      </c>
      <c r="M8" s="46">
        <f t="shared" si="21"/>
        <v>0.23193848354792568</v>
      </c>
      <c r="N8" s="45"/>
      <c r="O8" s="45">
        <f t="shared" si="21"/>
        <v>-0.15357561547479481</v>
      </c>
      <c r="P8" s="45">
        <f t="shared" si="21"/>
        <v>-8.9681440443213245E-2</v>
      </c>
      <c r="Q8" s="45">
        <f t="shared" si="21"/>
        <v>0.39596804868771396</v>
      </c>
      <c r="R8" s="45">
        <f t="shared" si="21"/>
        <v>1.0354223433242549E-2</v>
      </c>
      <c r="S8" s="45">
        <f t="shared" si="21"/>
        <v>-0.25660733549083059</v>
      </c>
      <c r="T8" s="45">
        <f t="shared" si="21"/>
        <v>5.5686559042263717E-2</v>
      </c>
      <c r="U8" s="45">
        <f t="shared" si="21"/>
        <v>0.20120274914089342</v>
      </c>
      <c r="V8" s="45">
        <f t="shared" si="21"/>
        <v>2.4173937920183075E-2</v>
      </c>
      <c r="W8" s="45">
        <f t="shared" si="21"/>
        <v>-0.25265363128491625</v>
      </c>
      <c r="X8" s="45">
        <f t="shared" si="21"/>
        <v>0.3229302934031022</v>
      </c>
      <c r="Y8" s="45">
        <f t="shared" si="21"/>
        <v>0.27588642463624802</v>
      </c>
      <c r="Z8" s="45">
        <f t="shared" si="21"/>
        <v>-3.9526129317980496E-2</v>
      </c>
      <c r="AA8" s="45">
        <f t="shared" si="21"/>
        <v>4.9221902017291042E-2</v>
      </c>
      <c r="AB8" s="45">
        <f t="shared" si="21"/>
        <v>-9.5253790375741554E-2</v>
      </c>
      <c r="AC8" s="45">
        <f t="shared" si="21"/>
        <v>0.1145112325440194</v>
      </c>
      <c r="AD8" s="45">
        <f t="shared" si="21"/>
        <v>0.18239267814338644</v>
      </c>
      <c r="AE8" s="45">
        <f t="shared" si="21"/>
        <v>-3.842609657206042E-2</v>
      </c>
      <c r="AF8" s="47">
        <f t="shared" si="21"/>
        <v>-0.29257307139434596</v>
      </c>
      <c r="AG8" s="47">
        <f t="shared" si="21"/>
        <v>0.55892712002167433</v>
      </c>
      <c r="AH8" s="47">
        <f t="shared" si="21"/>
        <v>-0.32785888077858882</v>
      </c>
      <c r="AI8" s="47">
        <f t="shared" si="21"/>
        <v>-7.3303167420814441E-2</v>
      </c>
      <c r="AJ8" s="47">
        <f t="shared" si="21"/>
        <v>-4.5758928571428603E-2</v>
      </c>
      <c r="AK8" s="47">
        <f t="shared" si="21"/>
        <v>0.11315789473684212</v>
      </c>
      <c r="AL8" s="47">
        <f t="shared" si="21"/>
        <v>2.1801943787759459E-2</v>
      </c>
      <c r="AM8" s="45">
        <f t="shared" ref="AM8" si="22">AVERAGE(AI8,AE8,AA8,W8,S8)</f>
        <v>-0.11435366575026613</v>
      </c>
      <c r="AN8" s="45">
        <f t="shared" ref="AN8" si="23">AVERAGE(AJ8,AF8,AB8,X8,T8)</f>
        <v>-1.099378757923004E-2</v>
      </c>
      <c r="AO8" s="45">
        <f t="shared" ref="AO8" si="24">AVERAGE(AK8,AG8,AC8,Y8,U8)</f>
        <v>0.25273708421593544</v>
      </c>
      <c r="AP8" s="45">
        <f>AVERAGE(AL8,AH8,AD8,Z8,V8)</f>
        <v>-2.7803290049048069E-2</v>
      </c>
      <c r="AQ8" s="45">
        <f t="shared" ref="AQ8" si="25">AVERAGE(AM8,AI8,AE8,AA8,W8)</f>
        <v>-8.5902931802153235E-2</v>
      </c>
      <c r="AR8" s="45">
        <f t="shared" ref="AR8" si="26">AVERAGE(AN8,AJ8,AF8,AB8,X8)</f>
        <v>-2.432985690352879E-2</v>
      </c>
      <c r="AS8" s="45">
        <f t="shared" ref="AS8" si="27">AVERAGE(AO8,AK8,AG8,AC8,Y8)</f>
        <v>0.26304395123094387</v>
      </c>
    </row>
    <row r="9" spans="1:45">
      <c r="A9" s="43" t="s">
        <v>534</v>
      </c>
      <c r="B9" s="44"/>
      <c r="C9" s="44"/>
      <c r="D9" s="44"/>
      <c r="E9" s="44"/>
      <c r="F9" s="45">
        <f>F7/B7-1</f>
        <v>-2.8513824884792593E-2</v>
      </c>
      <c r="G9" s="45">
        <f t="shared" ref="G9:AL9" si="28">G7/C7-1</f>
        <v>-9.0471950133570789E-2</v>
      </c>
      <c r="H9" s="45">
        <f t="shared" si="28"/>
        <v>-0.13117744610281923</v>
      </c>
      <c r="I9" s="45">
        <f t="shared" si="28"/>
        <v>-0.16608544027898864</v>
      </c>
      <c r="J9" s="45">
        <f t="shared" si="28"/>
        <v>7.382152386599472E-2</v>
      </c>
      <c r="K9" s="45">
        <f t="shared" si="28"/>
        <v>0.14431172899941247</v>
      </c>
      <c r="L9" s="45">
        <f t="shared" si="28"/>
        <v>6.7379270853216156E-2</v>
      </c>
      <c r="M9" s="46">
        <f t="shared" si="28"/>
        <v>0.20038334204565245</v>
      </c>
      <c r="N9" s="45"/>
      <c r="O9" s="45"/>
      <c r="P9" s="45"/>
      <c r="Q9" s="45"/>
      <c r="R9" s="45">
        <f t="shared" si="28"/>
        <v>8.6752637749120787E-2</v>
      </c>
      <c r="S9" s="45">
        <f t="shared" si="28"/>
        <v>-4.5533240997229885E-2</v>
      </c>
      <c r="T9" s="45">
        <f t="shared" si="28"/>
        <v>0.10688474705211104</v>
      </c>
      <c r="U9" s="45">
        <f t="shared" si="28"/>
        <v>-4.7547683923705675E-2</v>
      </c>
      <c r="V9" s="45">
        <f t="shared" si="28"/>
        <v>-3.4519956850053934E-2</v>
      </c>
      <c r="W9" s="45">
        <f t="shared" si="28"/>
        <v>-2.9385089787774321E-2</v>
      </c>
      <c r="X9" s="45">
        <f t="shared" si="28"/>
        <v>0.21632302405498272</v>
      </c>
      <c r="Y9" s="45">
        <f t="shared" si="28"/>
        <v>0.2919467887283651</v>
      </c>
      <c r="Z9" s="45">
        <f t="shared" si="28"/>
        <v>0.21159217877094982</v>
      </c>
      <c r="AA9" s="45">
        <f t="shared" si="28"/>
        <v>0.70099046907120166</v>
      </c>
      <c r="AB9" s="45">
        <f t="shared" si="28"/>
        <v>0.16329990111597681</v>
      </c>
      <c r="AC9" s="45">
        <f t="shared" si="28"/>
        <v>1.6164747564216153E-2</v>
      </c>
      <c r="AD9" s="45">
        <f t="shared" si="28"/>
        <v>0.2509510086455331</v>
      </c>
      <c r="AE9" s="45">
        <f t="shared" si="28"/>
        <v>0.14645132937815863</v>
      </c>
      <c r="AF9" s="47">
        <f t="shared" si="28"/>
        <v>-0.10358227079538551</v>
      </c>
      <c r="AG9" s="45">
        <f t="shared" si="28"/>
        <v>0.25386794508607546</v>
      </c>
      <c r="AH9" s="45">
        <f t="shared" si="28"/>
        <v>-0.28722816070770363</v>
      </c>
      <c r="AI9" s="45">
        <f t="shared" si="28"/>
        <v>-0.31308097747963581</v>
      </c>
      <c r="AJ9" s="45">
        <f t="shared" si="28"/>
        <v>-7.3421836900568915E-2</v>
      </c>
      <c r="AK9" s="45">
        <f t="shared" si="28"/>
        <v>-0.33837330552659017</v>
      </c>
      <c r="AL9" s="45">
        <f t="shared" si="28"/>
        <v>5.8177117000646206E-3</v>
      </c>
      <c r="AM9" s="45">
        <f t="shared" ref="AM9" si="29">AM7/AI7-1</f>
        <v>-3.8737656185417246E-2</v>
      </c>
      <c r="AN9" s="45">
        <f t="shared" ref="AN9" si="30">AN7/AJ7-1</f>
        <v>-3.7167145032747095E-3</v>
      </c>
      <c r="AO9" s="45">
        <f t="shared" ref="AO9" si="31">AO7/AK7-1</f>
        <v>0.1212075340141161</v>
      </c>
      <c r="AP9" s="45">
        <f t="shared" ref="AP9" si="32">AP7/AL7-1</f>
        <v>6.6776474998717861E-2</v>
      </c>
      <c r="AQ9" s="45">
        <f t="shared" ref="AQ9" si="33">AQ7/AM7-1</f>
        <v>0.10104588085360167</v>
      </c>
      <c r="AR9" s="45">
        <f t="shared" ref="AR9" si="34">AR7/AN7-1</f>
        <v>8.6199033572069927E-2</v>
      </c>
      <c r="AS9" s="45">
        <f t="shared" ref="AS9" si="35">AS7/AO7-1</f>
        <v>9.513571241068286E-2</v>
      </c>
    </row>
    <row r="10" spans="1:45">
      <c r="A10" s="37" t="s">
        <v>688</v>
      </c>
      <c r="B10" s="48">
        <f>B7/B$32</f>
        <v>9.3084357699164871E-2</v>
      </c>
      <c r="C10" s="48">
        <f t="shared" ref="C10:AK10" si="36">C7/C$32</f>
        <v>9.6793656266161002E-2</v>
      </c>
      <c r="D10" s="48">
        <f t="shared" si="36"/>
        <v>0.12156032657998185</v>
      </c>
      <c r="E10" s="48">
        <f t="shared" si="36"/>
        <v>0.13362847323352944</v>
      </c>
      <c r="F10" s="48">
        <f t="shared" si="36"/>
        <v>8.891290594685787E-2</v>
      </c>
      <c r="G10" s="48">
        <f t="shared" si="36"/>
        <v>0.10101469628340289</v>
      </c>
      <c r="H10" s="48">
        <f t="shared" si="36"/>
        <v>0.12368383776382265</v>
      </c>
      <c r="I10" s="48">
        <f t="shared" si="36"/>
        <v>0.12249210279176982</v>
      </c>
      <c r="J10" s="48">
        <f t="shared" si="36"/>
        <v>9.245574402368828E-2</v>
      </c>
      <c r="K10" s="48">
        <f t="shared" si="36"/>
        <v>0.11048094373865698</v>
      </c>
      <c r="L10" s="48">
        <f t="shared" si="36"/>
        <v>0.12315010570824525</v>
      </c>
      <c r="M10" s="49">
        <f t="shared" si="36"/>
        <v>0.13102189086897811</v>
      </c>
      <c r="N10" s="48">
        <f t="shared" si="36"/>
        <v>7.7288120236032307E-2</v>
      </c>
      <c r="O10" s="48">
        <f t="shared" si="36"/>
        <v>9.4476340023226524E-2</v>
      </c>
      <c r="P10" s="48">
        <f t="shared" si="36"/>
        <v>9.8713977283394344E-2</v>
      </c>
      <c r="Q10" s="48">
        <f t="shared" si="36"/>
        <v>0.11669316375198728</v>
      </c>
      <c r="R10" s="48">
        <f t="shared" si="36"/>
        <v>8.7961095955402677E-2</v>
      </c>
      <c r="S10" s="48">
        <f t="shared" si="36"/>
        <v>9.5027148151340168E-2</v>
      </c>
      <c r="T10" s="48">
        <f t="shared" si="36"/>
        <v>0.10816034492371164</v>
      </c>
      <c r="U10" s="48">
        <f t="shared" si="36"/>
        <v>0.10916614615865085</v>
      </c>
      <c r="V10" s="48">
        <f t="shared" si="36"/>
        <v>7.7979503152942206E-2</v>
      </c>
      <c r="W10" s="48">
        <f t="shared" si="36"/>
        <v>9.1763414675972765E-2</v>
      </c>
      <c r="X10" s="48">
        <f t="shared" si="36"/>
        <v>0.11860601491161933</v>
      </c>
      <c r="Y10" s="48">
        <f t="shared" si="36"/>
        <v>0.13960246066338991</v>
      </c>
      <c r="Z10" s="48">
        <f t="shared" si="36"/>
        <v>7.7845278582901856E-2</v>
      </c>
      <c r="AA10" s="48">
        <f t="shared" si="36"/>
        <v>0.10160296481514557</v>
      </c>
      <c r="AB10" s="48">
        <f t="shared" si="36"/>
        <v>0.10112483729154899</v>
      </c>
      <c r="AC10" s="48">
        <f t="shared" si="36"/>
        <v>0.11010076775431862</v>
      </c>
      <c r="AD10" s="48">
        <f t="shared" si="36"/>
        <v>8.7554963895276131E-2</v>
      </c>
      <c r="AE10" s="48">
        <f t="shared" si="36"/>
        <v>0.10726988630522831</v>
      </c>
      <c r="AF10" s="50">
        <f t="shared" si="36"/>
        <v>8.8983714847093137E-2</v>
      </c>
      <c r="AG10" s="48">
        <f t="shared" si="36"/>
        <v>0.1276595744680851</v>
      </c>
      <c r="AH10" s="48">
        <f t="shared" si="36"/>
        <v>6.6024207453437359E-2</v>
      </c>
      <c r="AI10" s="48">
        <f t="shared" si="36"/>
        <v>7.5583111898435196E-2</v>
      </c>
      <c r="AJ10" s="48">
        <f t="shared" si="36"/>
        <v>8.3621648715723071E-2</v>
      </c>
      <c r="AK10" s="48">
        <f t="shared" si="36"/>
        <v>8.5074526805068273E-2</v>
      </c>
      <c r="AL10" s="48">
        <f>AL7/AL$32</f>
        <v>6.5063767509931009E-2</v>
      </c>
      <c r="AM10" s="48">
        <f t="shared" ref="AM10:AS10" si="37">AM7/AM$32</f>
        <v>7.0767052347879986E-2</v>
      </c>
      <c r="AN10" s="48">
        <f t="shared" si="37"/>
        <v>7.6230686618342508E-2</v>
      </c>
      <c r="AO10" s="48">
        <f t="shared" si="37"/>
        <v>8.7147416926712101E-2</v>
      </c>
      <c r="AP10" s="48">
        <f t="shared" si="37"/>
        <v>6.0526385592832736E-2</v>
      </c>
      <c r="AQ10" s="48">
        <f t="shared" si="37"/>
        <v>7.1259086960574328E-2</v>
      </c>
      <c r="AR10" s="48">
        <f t="shared" si="37"/>
        <v>7.5860670468068839E-2</v>
      </c>
      <c r="AS10" s="48">
        <f t="shared" si="37"/>
        <v>8.9357269170814671E-2</v>
      </c>
    </row>
    <row r="11" spans="1:45">
      <c r="A11" s="37"/>
      <c r="B11" s="40"/>
      <c r="C11" s="40"/>
      <c r="D11" s="40"/>
      <c r="E11" s="40"/>
      <c r="F11" s="40"/>
      <c r="G11" s="40"/>
      <c r="H11" s="40"/>
      <c r="I11" s="40"/>
      <c r="J11" s="40"/>
      <c r="K11" s="40"/>
      <c r="L11" s="40"/>
      <c r="M11" s="41"/>
      <c r="N11" s="40"/>
      <c r="O11" s="40"/>
      <c r="P11" s="40"/>
      <c r="Q11" s="37"/>
      <c r="R11" s="40"/>
      <c r="S11" s="40"/>
      <c r="T11" s="40"/>
      <c r="U11" s="40"/>
      <c r="V11" s="40"/>
      <c r="W11" s="40"/>
      <c r="X11" s="40"/>
      <c r="Y11" s="40"/>
      <c r="Z11" s="40"/>
      <c r="AA11" s="37"/>
      <c r="AB11" s="37"/>
      <c r="AC11" s="37"/>
      <c r="AD11" s="37"/>
      <c r="AE11" s="37"/>
      <c r="AF11" s="37"/>
      <c r="AG11" s="37"/>
      <c r="AH11" s="37"/>
      <c r="AI11" s="37"/>
      <c r="AJ11" s="37"/>
      <c r="AK11" s="37"/>
      <c r="AL11" s="37"/>
      <c r="AM11" s="37"/>
      <c r="AN11" s="37"/>
      <c r="AO11" s="37"/>
      <c r="AP11" s="37"/>
      <c r="AQ11" s="37"/>
      <c r="AR11" s="37"/>
      <c r="AS11" s="37"/>
    </row>
    <row r="12" spans="1:45">
      <c r="A12" s="39" t="s">
        <v>536</v>
      </c>
      <c r="B12" s="40">
        <v>8985</v>
      </c>
      <c r="C12" s="40">
        <v>5428</v>
      </c>
      <c r="D12" s="40">
        <v>4538</v>
      </c>
      <c r="E12" s="40">
        <f>'[1]Segment Sales-Annual'!F4-SUM('[1]Segment Sales-Qty'!B12:D12)</f>
        <v>4276</v>
      </c>
      <c r="F12" s="40">
        <v>7084</v>
      </c>
      <c r="G12" s="40">
        <v>4413</v>
      </c>
      <c r="H12" s="40">
        <v>4876</v>
      </c>
      <c r="I12" s="40">
        <f>'[1]Segment Sales-Annual'!G4-SUM('[1]Segment Sales-Qty'!F12:H12)</f>
        <v>4255</v>
      </c>
      <c r="J12" s="40">
        <v>5533</v>
      </c>
      <c r="K12" s="40">
        <v>3889</v>
      </c>
      <c r="L12" s="40">
        <v>4969</v>
      </c>
      <c r="M12" s="41">
        <f>'[1]Segment Sales-Annual'!H4-SUM('[1]Segment Sales-Qty'!J12:L12)</f>
        <v>4411</v>
      </c>
      <c r="N12" s="40">
        <v>5755</v>
      </c>
      <c r="O12" s="40">
        <v>4008</v>
      </c>
      <c r="P12" s="40">
        <v>4634</v>
      </c>
      <c r="Q12" s="40">
        <f>'[1]Segment Sales-Annual'!I4-SUM('[1]Segment Sales-Qty'!N12:P12)</f>
        <v>3983</v>
      </c>
      <c r="R12" s="40">
        <v>6729</v>
      </c>
      <c r="S12" s="40">
        <v>4872</v>
      </c>
      <c r="T12" s="40">
        <v>5023</v>
      </c>
      <c r="U12" s="40">
        <f>'[1]Segment Sales-Annual'!J4-SUM('[1]Segment Sales-Qty'!R12:T12)</f>
        <v>4656</v>
      </c>
      <c r="V12" s="40">
        <v>5977</v>
      </c>
      <c r="W12" s="40">
        <v>4368</v>
      </c>
      <c r="X12" s="40">
        <v>6582</v>
      </c>
      <c r="Y12" s="40">
        <f>'[1]Segment Sales-Annual'!K4-SUM('[1]Segment Sales-Qty'!V12:X12)</f>
        <v>6797</v>
      </c>
      <c r="Z12" s="40">
        <v>8435</v>
      </c>
      <c r="AA12" s="40">
        <v>7807</v>
      </c>
      <c r="AB12" s="40">
        <v>7368</v>
      </c>
      <c r="AC12" s="40">
        <f>'[1]Segment Sales-Annual'!L4-SUM('[1]Segment Sales-Qty'!Z12:AB12)</f>
        <v>8252</v>
      </c>
      <c r="AD12" s="40">
        <v>7248</v>
      </c>
      <c r="AE12" s="40">
        <v>7646</v>
      </c>
      <c r="AF12" s="42">
        <v>7224</v>
      </c>
      <c r="AG12" s="40">
        <v>7174</v>
      </c>
      <c r="AH12" s="40">
        <v>9396</v>
      </c>
      <c r="AI12" s="40">
        <v>6670</v>
      </c>
      <c r="AJ12" s="40">
        <v>5791</v>
      </c>
      <c r="AK12" s="40">
        <f>Segment_A!N4-SUM(Segment_Q!AH12:AJ12)</f>
        <v>6443</v>
      </c>
      <c r="AL12" s="40">
        <v>7023</v>
      </c>
      <c r="AM12" s="40">
        <f>AL12*(1+AM13)</f>
        <v>5822.3033598057064</v>
      </c>
      <c r="AN12" s="40">
        <f t="shared" ref="AN12" si="38">AM12*(1+AN13)</f>
        <v>6165.4159020750903</v>
      </c>
      <c r="AO12" s="40">
        <f t="shared" ref="AO12" si="39">AN12*(1+AO13)</f>
        <v>6393.8400582108388</v>
      </c>
      <c r="AP12" s="40">
        <f t="shared" ref="AP12" si="40">AO12*(1+AP13)</f>
        <v>7420.4233609179219</v>
      </c>
      <c r="AQ12" s="40">
        <f t="shared" ref="AQ12" si="41">AP12*(1+AQ13)</f>
        <v>6307.6145466243897</v>
      </c>
      <c r="AR12" s="40">
        <f t="shared" ref="AR12" si="42">AQ12*(1+AR13)</f>
        <v>6714.5703595413579</v>
      </c>
      <c r="AS12" s="40">
        <f t="shared" ref="AS12" si="43">AR12*(1+AS13)</f>
        <v>7111.2128203392294</v>
      </c>
    </row>
    <row r="13" spans="1:45">
      <c r="A13" s="51" t="s">
        <v>533</v>
      </c>
      <c r="B13" s="52"/>
      <c r="C13" s="45">
        <f>C12/B12-1</f>
        <v>-0.39588202559821928</v>
      </c>
      <c r="D13" s="45">
        <f t="shared" ref="D13:AL13" si="44">D12/C12-1</f>
        <v>-0.16396462785556376</v>
      </c>
      <c r="E13" s="45">
        <f t="shared" si="44"/>
        <v>-5.7734684883208431E-2</v>
      </c>
      <c r="F13" s="45">
        <f t="shared" si="44"/>
        <v>0.65668849391955098</v>
      </c>
      <c r="G13" s="45">
        <f t="shared" si="44"/>
        <v>-0.37704686617730099</v>
      </c>
      <c r="H13" s="45">
        <f t="shared" si="44"/>
        <v>0.10491728982551551</v>
      </c>
      <c r="I13" s="45">
        <f t="shared" si="44"/>
        <v>-0.12735849056603776</v>
      </c>
      <c r="J13" s="45">
        <f t="shared" si="44"/>
        <v>0.30035252643948307</v>
      </c>
      <c r="K13" s="45">
        <f t="shared" si="44"/>
        <v>-0.29712633291162116</v>
      </c>
      <c r="L13" s="45">
        <f t="shared" si="44"/>
        <v>0.27770635124710719</v>
      </c>
      <c r="M13" s="46">
        <f t="shared" si="44"/>
        <v>-0.11229623666733746</v>
      </c>
      <c r="N13" s="45"/>
      <c r="O13" s="45">
        <f t="shared" si="44"/>
        <v>-0.30356211989574278</v>
      </c>
      <c r="P13" s="45">
        <f t="shared" si="44"/>
        <v>0.15618762475049897</v>
      </c>
      <c r="Q13" s="45">
        <f t="shared" si="44"/>
        <v>-0.1404833836858006</v>
      </c>
      <c r="R13" s="45">
        <f t="shared" si="44"/>
        <v>0.68943007783078092</v>
      </c>
      <c r="S13" s="45">
        <f t="shared" si="44"/>
        <v>-0.27596968345965223</v>
      </c>
      <c r="T13" s="45">
        <f t="shared" si="44"/>
        <v>3.0993431855500742E-2</v>
      </c>
      <c r="U13" s="45">
        <f t="shared" si="44"/>
        <v>-7.3063906032251658E-2</v>
      </c>
      <c r="V13" s="45">
        <f t="shared" si="44"/>
        <v>0.28371993127147777</v>
      </c>
      <c r="W13" s="45">
        <f t="shared" si="44"/>
        <v>-0.26919859461268192</v>
      </c>
      <c r="X13" s="45">
        <f t="shared" si="44"/>
        <v>0.50686813186813184</v>
      </c>
      <c r="Y13" s="45">
        <f t="shared" si="44"/>
        <v>3.2664843512610231E-2</v>
      </c>
      <c r="Z13" s="45">
        <f t="shared" si="44"/>
        <v>0.24098867147270853</v>
      </c>
      <c r="AA13" s="45">
        <f t="shared" si="44"/>
        <v>-7.4451689389448683E-2</v>
      </c>
      <c r="AB13" s="45">
        <f t="shared" si="44"/>
        <v>-5.6231587037274267E-2</v>
      </c>
      <c r="AC13" s="45">
        <f t="shared" si="44"/>
        <v>0.11997828447339853</v>
      </c>
      <c r="AD13" s="45">
        <f t="shared" si="44"/>
        <v>-0.12166747455162386</v>
      </c>
      <c r="AE13" s="45">
        <f t="shared" si="44"/>
        <v>5.4911699779249368E-2</v>
      </c>
      <c r="AF13" s="47">
        <f t="shared" si="44"/>
        <v>-5.5192257389484745E-2</v>
      </c>
      <c r="AG13" s="47">
        <f t="shared" si="44"/>
        <v>-6.9213732004429485E-3</v>
      </c>
      <c r="AH13" s="47">
        <f t="shared" si="44"/>
        <v>0.30972957903540554</v>
      </c>
      <c r="AI13" s="47">
        <f t="shared" si="44"/>
        <v>-0.29012345679012341</v>
      </c>
      <c r="AJ13" s="47">
        <f t="shared" si="44"/>
        <v>-0.13178410794602702</v>
      </c>
      <c r="AK13" s="47">
        <f t="shared" si="44"/>
        <v>0.11258849939561388</v>
      </c>
      <c r="AL13" s="47">
        <f t="shared" si="44"/>
        <v>9.0020176936209895E-2</v>
      </c>
      <c r="AM13" s="45">
        <f t="shared" ref="AM13" si="45">AVERAGE(AI13,AE13,AA13,W13,S13)</f>
        <v>-0.17096634489453139</v>
      </c>
      <c r="AN13" s="45">
        <f t="shared" ref="AN13" si="46">AVERAGE(AJ13,AF13,AB13,X13,T13)</f>
        <v>5.8930722270169308E-2</v>
      </c>
      <c r="AO13" s="45">
        <f t="shared" ref="AO13" si="47">AVERAGE(AK13,AG13,AC13,Y13,U13)</f>
        <v>3.7049269629785608E-2</v>
      </c>
      <c r="AP13" s="45">
        <f>AVERAGE(AL13,AH13,AD13,Z13,V13)</f>
        <v>0.16055817683283558</v>
      </c>
      <c r="AQ13" s="45">
        <f t="shared" ref="AQ13" si="48">AVERAGE(AM13,AI13,AE13,AA13,W13)</f>
        <v>-0.14996567718150722</v>
      </c>
      <c r="AR13" s="45">
        <f t="shared" ref="AR13" si="49">AVERAGE(AN13,AJ13,AF13,AB13,X13)</f>
        <v>6.4518180353103027E-2</v>
      </c>
      <c r="AS13" s="45">
        <f t="shared" ref="AS13" si="50">AVERAGE(AO13,AK13,AG13,AC13,Y13)</f>
        <v>5.907190476219306E-2</v>
      </c>
    </row>
    <row r="14" spans="1:45">
      <c r="A14" s="43" t="s">
        <v>534</v>
      </c>
      <c r="B14" s="44"/>
      <c r="C14" s="44"/>
      <c r="D14" s="44"/>
      <c r="E14" s="44"/>
      <c r="F14" s="45">
        <f>F12/B12-1</f>
        <v>-0.21157484696716755</v>
      </c>
      <c r="G14" s="45">
        <f t="shared" ref="G14:AG14" si="51">G12/C12-1</f>
        <v>-0.18699336772291819</v>
      </c>
      <c r="H14" s="45">
        <f t="shared" si="51"/>
        <v>7.4482150727192664E-2</v>
      </c>
      <c r="I14" s="45">
        <f t="shared" si="51"/>
        <v>-4.9111318989709662E-3</v>
      </c>
      <c r="J14" s="45">
        <f t="shared" si="51"/>
        <v>-0.21894409937888204</v>
      </c>
      <c r="K14" s="45">
        <f t="shared" si="51"/>
        <v>-0.11874008610922271</v>
      </c>
      <c r="L14" s="45">
        <f t="shared" si="51"/>
        <v>1.9073010664478973E-2</v>
      </c>
      <c r="M14" s="46">
        <f t="shared" si="51"/>
        <v>3.6662749706227959E-2</v>
      </c>
      <c r="N14" s="45"/>
      <c r="O14" s="45"/>
      <c r="P14" s="45"/>
      <c r="Q14" s="45"/>
      <c r="R14" s="45">
        <f t="shared" si="51"/>
        <v>0.16924413553431794</v>
      </c>
      <c r="S14" s="45">
        <f t="shared" si="51"/>
        <v>0.21556886227544902</v>
      </c>
      <c r="T14" s="45">
        <f t="shared" si="51"/>
        <v>8.3944756150194255E-2</v>
      </c>
      <c r="U14" s="45">
        <f t="shared" si="51"/>
        <v>0.16896811448656801</v>
      </c>
      <c r="V14" s="45">
        <f t="shared" si="51"/>
        <v>-0.11175508990934757</v>
      </c>
      <c r="W14" s="45">
        <f t="shared" si="51"/>
        <v>-0.10344827586206895</v>
      </c>
      <c r="X14" s="45">
        <f t="shared" si="51"/>
        <v>0.31037228747760293</v>
      </c>
      <c r="Y14" s="45">
        <f t="shared" si="51"/>
        <v>0.45983676975945009</v>
      </c>
      <c r="Z14" s="45">
        <f t="shared" si="51"/>
        <v>0.4112430985444202</v>
      </c>
      <c r="AA14" s="45">
        <f t="shared" si="51"/>
        <v>0.78731684981684991</v>
      </c>
      <c r="AB14" s="45">
        <f t="shared" si="51"/>
        <v>0.11941659070191424</v>
      </c>
      <c r="AC14" s="45">
        <f t="shared" si="51"/>
        <v>0.21406502868912747</v>
      </c>
      <c r="AD14" s="45">
        <f t="shared" si="51"/>
        <v>-0.14072317723770011</v>
      </c>
      <c r="AE14" s="45">
        <f t="shared" si="51"/>
        <v>-2.0622518252849997E-2</v>
      </c>
      <c r="AF14" s="47">
        <f t="shared" si="51"/>
        <v>-1.9543973941368087E-2</v>
      </c>
      <c r="AG14" s="45">
        <f t="shared" si="51"/>
        <v>-0.13063499757634511</v>
      </c>
      <c r="AH14" s="45">
        <f>AH12/AD12-1</f>
        <v>0.29635761589403975</v>
      </c>
      <c r="AI14" s="45">
        <f t="shared" ref="AI14" si="52">AI12/AE12-1</f>
        <v>-0.12764844363065653</v>
      </c>
      <c r="AJ14" s="45">
        <f>AJ12/AF12-1</f>
        <v>-0.19836655592469543</v>
      </c>
      <c r="AK14" s="45">
        <f t="shared" ref="AK14:AL14" si="53">AK12/AG12-1</f>
        <v>-0.1018957345971564</v>
      </c>
      <c r="AL14" s="45">
        <f t="shared" si="53"/>
        <v>-0.25255427841634737</v>
      </c>
      <c r="AM14" s="45">
        <f t="shared" ref="AM14" si="54">AM12/AI12-1</f>
        <v>-0.1270909505538671</v>
      </c>
      <c r="AN14" s="45">
        <f t="shared" ref="AN14" si="55">AN12/AJ12-1</f>
        <v>6.4654792276824358E-2</v>
      </c>
      <c r="AO14" s="45">
        <f t="shared" ref="AO14" si="56">AO12/AK12-1</f>
        <v>-7.6299769966104991E-3</v>
      </c>
      <c r="AP14" s="45">
        <f t="shared" ref="AP14" si="57">AP12/AL12-1</f>
        <v>5.6588831114612326E-2</v>
      </c>
      <c r="AQ14" s="45">
        <f t="shared" ref="AQ14" si="58">AQ12/AM12-1</f>
        <v>8.3353813229491092E-2</v>
      </c>
      <c r="AR14" s="45">
        <f t="shared" ref="AR14" si="59">AR12/AN12-1</f>
        <v>8.9070139985437002E-2</v>
      </c>
      <c r="AS14" s="45">
        <f t="shared" ref="AS14" si="60">AS12/AO12-1</f>
        <v>0.1121974831395971</v>
      </c>
    </row>
    <row r="15" spans="1:45">
      <c r="A15" s="37" t="s">
        <v>688</v>
      </c>
      <c r="B15" s="48">
        <f>B12/B$32</f>
        <v>0.12044397377980938</v>
      </c>
      <c r="C15" s="48">
        <f t="shared" ref="C15:AK15" si="61">C12/C$32</f>
        <v>9.3570074125150837E-2</v>
      </c>
      <c r="D15" s="48">
        <f t="shared" si="61"/>
        <v>9.1482713436145544E-2</v>
      </c>
      <c r="E15" s="48">
        <f t="shared" si="61"/>
        <v>8.3027514028853805E-2</v>
      </c>
      <c r="F15" s="48">
        <f t="shared" si="61"/>
        <v>9.3367777309152258E-2</v>
      </c>
      <c r="G15" s="48">
        <f t="shared" si="61"/>
        <v>8.7287615958225373E-2</v>
      </c>
      <c r="H15" s="48">
        <f t="shared" si="61"/>
        <v>0.11511402804664998</v>
      </c>
      <c r="I15" s="48">
        <f t="shared" si="61"/>
        <v>9.0817894646973443E-2</v>
      </c>
      <c r="J15" s="48">
        <f t="shared" si="61"/>
        <v>7.0618115914283158E-2</v>
      </c>
      <c r="K15" s="48">
        <f t="shared" si="61"/>
        <v>7.3521627344222629E-2</v>
      </c>
      <c r="L15" s="48">
        <f t="shared" si="61"/>
        <v>0.1094300563777308</v>
      </c>
      <c r="M15" s="49">
        <f t="shared" si="61"/>
        <v>8.3892808916107189E-2</v>
      </c>
      <c r="N15" s="48">
        <f t="shared" si="61"/>
        <v>6.5180705152163815E-2</v>
      </c>
      <c r="O15" s="48">
        <f t="shared" si="61"/>
        <v>6.5557681927474368E-2</v>
      </c>
      <c r="P15" s="48">
        <f t="shared" si="61"/>
        <v>8.6998967427015864E-2</v>
      </c>
      <c r="Q15" s="48">
        <f t="shared" si="61"/>
        <v>6.3322734499205086E-2</v>
      </c>
      <c r="R15" s="48">
        <f t="shared" si="61"/>
        <v>7.9812596370537309E-2</v>
      </c>
      <c r="S15" s="48">
        <f t="shared" si="61"/>
        <v>8.3978281478927858E-2</v>
      </c>
      <c r="T15" s="48">
        <f t="shared" si="61"/>
        <v>9.3348696314742893E-2</v>
      </c>
      <c r="U15" s="48">
        <f t="shared" si="61"/>
        <v>7.2704559650218617E-2</v>
      </c>
      <c r="V15" s="48">
        <f t="shared" si="61"/>
        <v>6.5095459545409989E-2</v>
      </c>
      <c r="W15" s="48">
        <f t="shared" si="61"/>
        <v>7.4906110129816683E-2</v>
      </c>
      <c r="X15" s="48">
        <f t="shared" si="61"/>
        <v>0.11027896456396079</v>
      </c>
      <c r="Y15" s="48">
        <f t="shared" si="61"/>
        <v>0.10505734334909889</v>
      </c>
      <c r="Z15" s="48">
        <f t="shared" si="61"/>
        <v>7.5691633988101109E-2</v>
      </c>
      <c r="AA15" s="48">
        <f t="shared" si="61"/>
        <v>8.7147258439006961E-2</v>
      </c>
      <c r="AB15" s="48">
        <f t="shared" si="61"/>
        <v>9.0478178647739271E-2</v>
      </c>
      <c r="AC15" s="48">
        <f t="shared" si="61"/>
        <v>9.8992322456813817E-2</v>
      </c>
      <c r="AD15" s="48">
        <f t="shared" si="61"/>
        <v>5.8477550526443184E-2</v>
      </c>
      <c r="AE15" s="48">
        <f t="shared" si="61"/>
        <v>7.8599477785316313E-2</v>
      </c>
      <c r="AF15" s="50">
        <f t="shared" si="61"/>
        <v>8.7079159584855167E-2</v>
      </c>
      <c r="AG15" s="48">
        <f t="shared" si="61"/>
        <v>7.9582011403722855E-2</v>
      </c>
      <c r="AH15" s="48">
        <f t="shared" si="61"/>
        <v>8.020212711473787E-2</v>
      </c>
      <c r="AI15" s="48">
        <f t="shared" si="61"/>
        <v>7.0331941456830735E-2</v>
      </c>
      <c r="AJ15" s="48">
        <f t="shared" si="61"/>
        <v>7.0797217501864365E-2</v>
      </c>
      <c r="AK15" s="48">
        <f t="shared" si="61"/>
        <v>7.1990435540459002E-2</v>
      </c>
      <c r="AL15" s="48">
        <f t="shared" ref="AL15:AS15" si="62">AL12/AL$32</f>
        <v>5.8733012753501984E-2</v>
      </c>
      <c r="AM15" s="48">
        <f t="shared" si="62"/>
        <v>5.9797910624563688E-2</v>
      </c>
      <c r="AN15" s="48">
        <f t="shared" si="62"/>
        <v>6.8968894342337758E-2</v>
      </c>
      <c r="AO15" s="48">
        <f t="shared" si="62"/>
        <v>6.5270570306217218E-2</v>
      </c>
      <c r="AP15" s="48">
        <f t="shared" si="62"/>
        <v>5.4115340744525814E-2</v>
      </c>
      <c r="AQ15" s="48">
        <f t="shared" si="62"/>
        <v>5.9246139475151782E-2</v>
      </c>
      <c r="AR15" s="48">
        <f t="shared" si="62"/>
        <v>6.881554404519713E-2</v>
      </c>
      <c r="AS15" s="48">
        <f t="shared" si="62"/>
        <v>6.7968352437188323E-2</v>
      </c>
    </row>
    <row r="16" spans="1:45">
      <c r="A16" s="37"/>
      <c r="B16" s="40"/>
      <c r="C16" s="40"/>
      <c r="D16" s="40"/>
      <c r="E16" s="40"/>
      <c r="F16" s="40"/>
      <c r="G16" s="40"/>
      <c r="H16" s="40"/>
      <c r="I16" s="40"/>
      <c r="J16" s="40"/>
      <c r="K16" s="40"/>
      <c r="L16" s="40"/>
      <c r="M16" s="41"/>
      <c r="N16" s="40"/>
      <c r="O16" s="40"/>
      <c r="P16" s="40"/>
      <c r="Q16" s="40"/>
      <c r="R16" s="40"/>
      <c r="S16" s="40"/>
      <c r="T16" s="40"/>
      <c r="U16" s="40"/>
      <c r="V16" s="40"/>
      <c r="W16" s="40"/>
      <c r="X16" s="40"/>
      <c r="Y16" s="40"/>
      <c r="Z16" s="40"/>
      <c r="AA16" s="37"/>
      <c r="AB16" s="37"/>
      <c r="AC16" s="37"/>
      <c r="AD16" s="37"/>
      <c r="AE16" s="37"/>
      <c r="AF16" s="37"/>
      <c r="AG16" s="37"/>
      <c r="AH16" s="37"/>
      <c r="AI16" s="37"/>
      <c r="AJ16" s="37"/>
      <c r="AK16" s="37"/>
      <c r="AL16" s="37"/>
      <c r="AM16" s="37"/>
      <c r="AN16" s="37"/>
      <c r="AO16" s="37"/>
      <c r="AP16" s="37"/>
      <c r="AQ16" s="37"/>
      <c r="AR16" s="37"/>
      <c r="AS16" s="37"/>
    </row>
    <row r="17" spans="1:45">
      <c r="A17" s="39" t="s">
        <v>537</v>
      </c>
      <c r="B17" s="40"/>
      <c r="C17" s="40"/>
      <c r="D17" s="40"/>
      <c r="E17" s="40"/>
      <c r="F17" s="40"/>
      <c r="G17" s="40"/>
      <c r="H17" s="40"/>
      <c r="I17" s="40"/>
      <c r="J17" s="40"/>
      <c r="K17" s="40"/>
      <c r="L17" s="40"/>
      <c r="M17" s="41">
        <f>M32-(M2+M7+M12+M22)</f>
        <v>3194</v>
      </c>
      <c r="N17" s="40">
        <v>5481</v>
      </c>
      <c r="O17" s="40">
        <v>3944</v>
      </c>
      <c r="P17" s="40">
        <v>3733</v>
      </c>
      <c r="Q17" s="40">
        <f>'[1]Segment Sales-Annual'!I5-SUM('[1]Segment Sales-Qty'!N17:P17)</f>
        <v>4223</v>
      </c>
      <c r="R17" s="40">
        <v>7308</v>
      </c>
      <c r="S17" s="40">
        <v>5129</v>
      </c>
      <c r="T17" s="40">
        <v>5525</v>
      </c>
      <c r="U17" s="40">
        <f>'[1]Segment Sales-Annual'!J5-SUM('[1]Segment Sales-Qty'!R17:T17)</f>
        <v>6520</v>
      </c>
      <c r="V17" s="40">
        <v>10010</v>
      </c>
      <c r="W17" s="40">
        <v>6284</v>
      </c>
      <c r="X17" s="40">
        <v>6450</v>
      </c>
      <c r="Y17" s="40">
        <f>'[1]Segment Sales-Annual'!K5-SUM('[1]Segment Sales-Qty'!V17:X17)</f>
        <v>7876</v>
      </c>
      <c r="Z17" s="40">
        <v>12971</v>
      </c>
      <c r="AA17" s="40">
        <v>7836</v>
      </c>
      <c r="AB17" s="40">
        <v>8775</v>
      </c>
      <c r="AC17" s="40">
        <f>'[1]Segment Sales-Annual'!L5-SUM('[1]Segment Sales-Qty'!Z17:AB17)</f>
        <v>8785</v>
      </c>
      <c r="AD17" s="40">
        <v>14701</v>
      </c>
      <c r="AE17" s="40">
        <v>8806</v>
      </c>
      <c r="AF17" s="42">
        <v>8084</v>
      </c>
      <c r="AG17" s="40">
        <v>9650</v>
      </c>
      <c r="AH17" s="40">
        <v>13482</v>
      </c>
      <c r="AI17" s="40">
        <v>8757</v>
      </c>
      <c r="AJ17" s="40">
        <v>8284</v>
      </c>
      <c r="AK17" s="40">
        <f>Segment_A!N5-SUM(Segment_Q!AH17:AJ17)</f>
        <v>9322</v>
      </c>
      <c r="AL17" s="40">
        <v>11953</v>
      </c>
      <c r="AM17" s="40">
        <f>AL17*(1+AM18)+AM39</f>
        <v>8347.5162339351045</v>
      </c>
      <c r="AN17" s="40">
        <f>AM17*(1+AN18)+AN39</f>
        <v>8863.5182838577875</v>
      </c>
      <c r="AO17" s="40">
        <f>AN17*(1+AO18)+AO39</f>
        <v>10512.228177040126</v>
      </c>
      <c r="AP17" s="40">
        <f>AO17*(1+AP18)+AP39</f>
        <v>16211.786315611633</v>
      </c>
      <c r="AQ17" s="40">
        <f t="shared" ref="AQ17" si="63">AP17*(1+AQ18)</f>
        <v>10106.042211423965</v>
      </c>
      <c r="AR17" s="40">
        <f t="shared" ref="AR17" si="64">AQ17*(1+AR18)</f>
        <v>10162.100095842827</v>
      </c>
      <c r="AS17" s="40">
        <f t="shared" ref="AS17" si="65">AR17*(1+AS18)</f>
        <v>11555.342857509871</v>
      </c>
    </row>
    <row r="18" spans="1:45">
      <c r="A18" s="51" t="s">
        <v>533</v>
      </c>
      <c r="B18" s="52"/>
      <c r="C18" s="45"/>
      <c r="D18" s="45"/>
      <c r="E18" s="45"/>
      <c r="F18" s="45"/>
      <c r="G18" s="45"/>
      <c r="H18" s="45"/>
      <c r="I18" s="45"/>
      <c r="J18" s="45"/>
      <c r="K18" s="45"/>
      <c r="L18" s="45"/>
      <c r="M18" s="46"/>
      <c r="N18" s="45"/>
      <c r="O18" s="45">
        <f t="shared" ref="O18:AG18" si="66">O17/N17-1</f>
        <v>-0.28042328042328046</v>
      </c>
      <c r="P18" s="45">
        <f t="shared" si="66"/>
        <v>-5.3498985801217036E-2</v>
      </c>
      <c r="Q18" s="45">
        <f t="shared" si="66"/>
        <v>0.13126171979641033</v>
      </c>
      <c r="R18" s="45">
        <f t="shared" si="66"/>
        <v>0.73052332465072234</v>
      </c>
      <c r="S18" s="45">
        <f t="shared" si="66"/>
        <v>-0.29816639299397918</v>
      </c>
      <c r="T18" s="45">
        <f t="shared" si="66"/>
        <v>7.7208032754922939E-2</v>
      </c>
      <c r="U18" s="45">
        <f t="shared" si="66"/>
        <v>0.18009049773755659</v>
      </c>
      <c r="V18" s="45">
        <f t="shared" si="66"/>
        <v>0.53527607361963181</v>
      </c>
      <c r="W18" s="45">
        <f t="shared" si="66"/>
        <v>-0.37222777222777226</v>
      </c>
      <c r="X18" s="45">
        <f t="shared" si="66"/>
        <v>2.6416295353278274E-2</v>
      </c>
      <c r="Y18" s="45">
        <f t="shared" si="66"/>
        <v>0.22108527131782951</v>
      </c>
      <c r="Z18" s="45">
        <f t="shared" si="66"/>
        <v>0.64690198070086335</v>
      </c>
      <c r="AA18" s="45">
        <f t="shared" si="66"/>
        <v>-0.3958831238917585</v>
      </c>
      <c r="AB18" s="45">
        <f t="shared" si="66"/>
        <v>0.11983154670750373</v>
      </c>
      <c r="AC18" s="45">
        <f t="shared" si="66"/>
        <v>1.1396011396012096E-3</v>
      </c>
      <c r="AD18" s="45">
        <f t="shared" si="66"/>
        <v>0.67342060330108144</v>
      </c>
      <c r="AE18" s="45">
        <f t="shared" si="66"/>
        <v>-0.40099312971906675</v>
      </c>
      <c r="AF18" s="47">
        <f t="shared" si="66"/>
        <v>-8.1989552577787839E-2</v>
      </c>
      <c r="AG18" s="45">
        <f t="shared" si="66"/>
        <v>0.19371598218703623</v>
      </c>
      <c r="AH18" s="45">
        <f>AH17/AG17-1</f>
        <v>0.39709844559585483</v>
      </c>
      <c r="AI18" s="45">
        <f>AI17/AH17-1</f>
        <v>-0.35046728971962615</v>
      </c>
      <c r="AJ18" s="45">
        <f>AJ17/AI17-1</f>
        <v>-5.4013931711773489E-2</v>
      </c>
      <c r="AK18" s="45">
        <f t="shared" ref="AK18:AL18" si="67">AK17/AJ17-1</f>
        <v>0.12530178657653313</v>
      </c>
      <c r="AL18" s="45">
        <f t="shared" si="67"/>
        <v>0.28223557176571545</v>
      </c>
      <c r="AM18" s="45">
        <f t="shared" ref="AM18" si="68">AVERAGE(AI18,AE18,AA18,W18,S18)</f>
        <v>-0.36354754171044057</v>
      </c>
      <c r="AN18" s="45">
        <f t="shared" ref="AN18" si="69">AVERAGE(AJ18,AF18,AB18,X18,T18)</f>
        <v>1.7490478105228725E-2</v>
      </c>
      <c r="AO18" s="45">
        <f t="shared" ref="AO18" si="70">AVERAGE(AK18,AG18,AC18,Y18,U18)</f>
        <v>0.14426662779171134</v>
      </c>
      <c r="AP18" s="45">
        <f>AVERAGE(AL18,AH18,AD18,Z18,V18)</f>
        <v>0.50698653499662938</v>
      </c>
      <c r="AQ18" s="45">
        <f t="shared" ref="AQ18" si="71">AVERAGE(AM18,AI18,AE18,AA18,W18)</f>
        <v>-0.37662377145373288</v>
      </c>
      <c r="AR18" s="45">
        <f t="shared" ref="AR18" si="72">AVERAGE(AN18,AJ18,AF18,AB18,X18)</f>
        <v>5.5469671752898797E-3</v>
      </c>
      <c r="AS18" s="45">
        <f t="shared" ref="AS18" si="73">AVERAGE(AO18,AK18,AG18,AC18,Y18)</f>
        <v>0.13710185380254228</v>
      </c>
    </row>
    <row r="19" spans="1:45">
      <c r="A19" s="43" t="s">
        <v>534</v>
      </c>
      <c r="B19" s="44"/>
      <c r="C19" s="44"/>
      <c r="D19" s="44"/>
      <c r="E19" s="44"/>
      <c r="F19" s="45"/>
      <c r="G19" s="45"/>
      <c r="H19" s="45"/>
      <c r="I19" s="45"/>
      <c r="J19" s="45"/>
      <c r="K19" s="45"/>
      <c r="L19" s="45"/>
      <c r="M19" s="46"/>
      <c r="N19" s="45"/>
      <c r="O19" s="45"/>
      <c r="P19" s="45"/>
      <c r="Q19" s="45"/>
      <c r="R19" s="45">
        <f t="shared" ref="R19:AE19" si="74">R17/N17-1</f>
        <v>0.33333333333333326</v>
      </c>
      <c r="S19" s="45">
        <f t="shared" si="74"/>
        <v>0.30045638945233266</v>
      </c>
      <c r="T19" s="45">
        <f t="shared" si="74"/>
        <v>0.48004286096972937</v>
      </c>
      <c r="U19" s="45">
        <f t="shared" si="74"/>
        <v>0.54392611887283926</v>
      </c>
      <c r="V19" s="45">
        <f t="shared" si="74"/>
        <v>0.36973180076628354</v>
      </c>
      <c r="W19" s="45">
        <f t="shared" si="74"/>
        <v>0.22519009553519198</v>
      </c>
      <c r="X19" s="45">
        <f t="shared" si="74"/>
        <v>0.16742081447963808</v>
      </c>
      <c r="Y19" s="45">
        <f t="shared" si="74"/>
        <v>0.2079754601226993</v>
      </c>
      <c r="Z19" s="45">
        <f t="shared" si="74"/>
        <v>0.2958041958041957</v>
      </c>
      <c r="AA19" s="45">
        <f t="shared" si="74"/>
        <v>0.2469764481222152</v>
      </c>
      <c r="AB19" s="45">
        <f t="shared" si="74"/>
        <v>0.36046511627906974</v>
      </c>
      <c r="AC19" s="45">
        <f t="shared" si="74"/>
        <v>0.11541391569324522</v>
      </c>
      <c r="AD19" s="45">
        <f t="shared" si="74"/>
        <v>0.13337445069771037</v>
      </c>
      <c r="AE19" s="45">
        <f t="shared" si="74"/>
        <v>0.12378764675855036</v>
      </c>
      <c r="AF19" s="47">
        <f t="shared" ref="AF19:AL19" si="75">AF17/AB17-1</f>
        <v>-7.8746438746438718E-2</v>
      </c>
      <c r="AG19" s="47">
        <f t="shared" si="75"/>
        <v>9.8463289698349499E-2</v>
      </c>
      <c r="AH19" s="47">
        <f t="shared" si="75"/>
        <v>-8.2919529283722149E-2</v>
      </c>
      <c r="AI19" s="47">
        <f t="shared" si="75"/>
        <v>-5.56438791732905E-3</v>
      </c>
      <c r="AJ19" s="47">
        <f t="shared" si="75"/>
        <v>2.474022761009409E-2</v>
      </c>
      <c r="AK19" s="47">
        <f t="shared" si="75"/>
        <v>-3.3989637305699483E-2</v>
      </c>
      <c r="AL19" s="47">
        <f t="shared" si="75"/>
        <v>-0.11341047322355735</v>
      </c>
      <c r="AM19" s="45">
        <f t="shared" ref="AM19" si="76">AM17/AI17-1</f>
        <v>-4.6760736104247469E-2</v>
      </c>
      <c r="AN19" s="45">
        <f t="shared" ref="AN19" si="77">AN17/AJ17-1</f>
        <v>6.995633556950609E-2</v>
      </c>
      <c r="AO19" s="45">
        <f t="shared" ref="AO19" si="78">AO17/AK17-1</f>
        <v>0.12767948691698416</v>
      </c>
      <c r="AP19" s="45">
        <f t="shared" ref="AP19" si="79">AP17/AL17-1</f>
        <v>0.35629434582210595</v>
      </c>
      <c r="AQ19" s="45">
        <f t="shared" ref="AQ19" si="80">AQ17/AM17-1</f>
        <v>0.21066457712773712</v>
      </c>
      <c r="AR19" s="45">
        <f t="shared" ref="AR19" si="81">AR17/AN17-1</f>
        <v>0.14650861772914858</v>
      </c>
      <c r="AS19" s="45">
        <f t="shared" ref="AS19" si="82">AS17/AO17-1</f>
        <v>9.9228694706991138E-2</v>
      </c>
    </row>
    <row r="20" spans="1:45">
      <c r="A20" s="37" t="s">
        <v>688</v>
      </c>
      <c r="B20" s="48"/>
      <c r="C20" s="48"/>
      <c r="D20" s="48"/>
      <c r="E20" s="48"/>
      <c r="F20" s="48"/>
      <c r="G20" s="48"/>
      <c r="H20" s="48"/>
      <c r="I20" s="48"/>
      <c r="J20" s="48"/>
      <c r="K20" s="48"/>
      <c r="L20" s="48"/>
      <c r="M20" s="49"/>
      <c r="N20" s="48">
        <f>N17/N32</f>
        <v>6.2077401379497806E-2</v>
      </c>
      <c r="O20" s="48">
        <f t="shared" ref="O20:AK20" si="83">O17/O32</f>
        <v>6.4510852675139438E-2</v>
      </c>
      <c r="P20" s="48">
        <f t="shared" si="83"/>
        <v>7.0083544541443721E-2</v>
      </c>
      <c r="Q20" s="48">
        <f t="shared" si="83"/>
        <v>6.7138314785373604E-2</v>
      </c>
      <c r="R20" s="48">
        <f t="shared" si="83"/>
        <v>8.6680109121100704E-2</v>
      </c>
      <c r="S20" s="48">
        <f t="shared" si="83"/>
        <v>8.8408170300784281E-2</v>
      </c>
      <c r="T20" s="48">
        <f t="shared" si="83"/>
        <v>0.10267799067070564</v>
      </c>
      <c r="U20" s="48">
        <f t="shared" si="83"/>
        <v>0.10181136789506559</v>
      </c>
      <c r="V20" s="48">
        <f t="shared" si="83"/>
        <v>0.10901883052527254</v>
      </c>
      <c r="W20" s="48">
        <f t="shared" si="83"/>
        <v>0.10776327748529488</v>
      </c>
      <c r="X20" s="48">
        <f t="shared" si="83"/>
        <v>0.10806735360643378</v>
      </c>
      <c r="Y20" s="48">
        <f t="shared" si="83"/>
        <v>0.12173482951559554</v>
      </c>
      <c r="Z20" s="48">
        <f t="shared" si="83"/>
        <v>0.11639551682983516</v>
      </c>
      <c r="AA20" s="48">
        <f t="shared" si="83"/>
        <v>8.7470976960171462E-2</v>
      </c>
      <c r="AB20" s="48">
        <f t="shared" si="83"/>
        <v>0.10775597416312596</v>
      </c>
      <c r="AC20" s="48">
        <f>AC17/AC32</f>
        <v>0.10538627639155471</v>
      </c>
      <c r="AD20" s="48">
        <f t="shared" si="83"/>
        <v>0.11860906047036993</v>
      </c>
      <c r="AE20" s="48">
        <f t="shared" si="83"/>
        <v>9.0524065050679489E-2</v>
      </c>
      <c r="AF20" s="50">
        <f t="shared" si="83"/>
        <v>9.7445726202099833E-2</v>
      </c>
      <c r="AG20" s="48">
        <f t="shared" si="83"/>
        <v>0.10704856566015131</v>
      </c>
      <c r="AH20" s="48">
        <f t="shared" si="83"/>
        <v>0.11507929733513153</v>
      </c>
      <c r="AI20" s="48">
        <f t="shared" si="83"/>
        <v>9.2338352524357833E-2</v>
      </c>
      <c r="AJ20" s="48">
        <f t="shared" si="83"/>
        <v>0.10127510788904238</v>
      </c>
      <c r="AK20" s="48">
        <f t="shared" si="83"/>
        <v>0.10415875215088605</v>
      </c>
      <c r="AL20" s="48">
        <f t="shared" ref="AL20" si="84">AL17/AL32</f>
        <v>9.9962366715450557E-2</v>
      </c>
      <c r="AM20" s="48">
        <f t="shared" ref="AM20:AS20" si="85">AM17/AM$32</f>
        <v>8.5733085146323135E-2</v>
      </c>
      <c r="AN20" s="48">
        <f t="shared" si="85"/>
        <v>9.9150984415344867E-2</v>
      </c>
      <c r="AO20" s="48">
        <f t="shared" si="85"/>
        <v>0.10731252612792049</v>
      </c>
      <c r="AP20" s="48">
        <f t="shared" si="85"/>
        <v>0.11822861013124723</v>
      </c>
      <c r="AQ20" s="48">
        <f t="shared" si="85"/>
        <v>9.4923997332751101E-2</v>
      </c>
      <c r="AR20" s="48">
        <f t="shared" si="85"/>
        <v>0.10414820447051519</v>
      </c>
      <c r="AS20" s="48">
        <f t="shared" si="85"/>
        <v>0.11044496005314484</v>
      </c>
    </row>
    <row r="21" spans="1:45">
      <c r="A21" s="37"/>
      <c r="B21" s="40"/>
      <c r="C21" s="40"/>
      <c r="D21" s="40"/>
      <c r="E21" s="40"/>
      <c r="F21" s="40"/>
      <c r="G21" s="40"/>
      <c r="H21" s="40"/>
      <c r="I21" s="40"/>
      <c r="J21" s="40"/>
      <c r="K21" s="40"/>
      <c r="L21" s="40"/>
      <c r="M21" s="41"/>
      <c r="N21" s="40"/>
      <c r="O21" s="40"/>
      <c r="P21" s="40"/>
      <c r="Q21" s="40"/>
      <c r="R21" s="40"/>
      <c r="S21" s="40"/>
      <c r="T21" s="40"/>
      <c r="U21" s="40"/>
      <c r="V21" s="40"/>
      <c r="W21" s="40"/>
      <c r="X21" s="40"/>
      <c r="Y21" s="40"/>
      <c r="Z21" s="40"/>
      <c r="AA21" s="37"/>
      <c r="AB21" s="37"/>
      <c r="AC21" s="37"/>
      <c r="AD21" s="37"/>
      <c r="AE21" s="37"/>
      <c r="AF21" s="37"/>
      <c r="AG21" s="37"/>
      <c r="AH21" s="37"/>
      <c r="AI21" s="37"/>
      <c r="AJ21" s="37"/>
      <c r="AK21" s="37"/>
      <c r="AL21" s="37"/>
      <c r="AM21" s="37"/>
      <c r="AN21" s="37"/>
      <c r="AO21" s="37"/>
      <c r="AP21" s="37"/>
      <c r="AQ21" s="37"/>
      <c r="AR21" s="37"/>
      <c r="AS21" s="37"/>
    </row>
    <row r="22" spans="1:45">
      <c r="A22" s="39" t="s">
        <v>538</v>
      </c>
      <c r="B22" s="40">
        <v>4799</v>
      </c>
      <c r="C22" s="40">
        <v>4996</v>
      </c>
      <c r="D22" s="40">
        <v>5028</v>
      </c>
      <c r="E22" s="40">
        <f>'[1]Segment Sales-Annual'!F6-SUM('[1]Segment Sales-Qty'!B22:D22)</f>
        <v>5086</v>
      </c>
      <c r="F22" s="40">
        <v>6056</v>
      </c>
      <c r="G22" s="40">
        <v>5991</v>
      </c>
      <c r="H22" s="40">
        <v>5976</v>
      </c>
      <c r="I22" s="40">
        <f>'[1]Segment Sales-Annual'!G6-SUM('[1]Segment Sales-Qty'!F22:H22)</f>
        <v>6325</v>
      </c>
      <c r="J22" s="40">
        <v>7172</v>
      </c>
      <c r="K22" s="40">
        <v>7041</v>
      </c>
      <c r="L22" s="40">
        <v>7266</v>
      </c>
      <c r="M22" s="41">
        <f>'[1]Segment Sales-Annual'!H6-SUM('[1]Segment Sales-Qty'!J22:L22)</f>
        <v>11221</v>
      </c>
      <c r="N22" s="40">
        <v>9129</v>
      </c>
      <c r="O22" s="40">
        <v>9850</v>
      </c>
      <c r="P22" s="40">
        <v>10170</v>
      </c>
      <c r="Q22" s="40">
        <f>'[1]Segment Sales-Annual'!I6-SUM('[1]Segment Sales-Qty'!N22:P22)</f>
        <v>10599</v>
      </c>
      <c r="R22" s="40">
        <v>10875</v>
      </c>
      <c r="S22" s="40">
        <v>11450</v>
      </c>
      <c r="T22" s="40">
        <v>11455</v>
      </c>
      <c r="U22" s="40">
        <f>'[1]Segment Sales-Annual'!J6-SUM('[1]Segment Sales-Qty'!R22:T22)</f>
        <v>12511</v>
      </c>
      <c r="V22" s="40">
        <v>12715</v>
      </c>
      <c r="W22" s="40">
        <v>13348</v>
      </c>
      <c r="X22" s="40">
        <v>13156</v>
      </c>
      <c r="Y22" s="40">
        <f>'[1]Segment Sales-Annual'!K6-SUM('[1]Segment Sales-Qty'!V22:X22)</f>
        <v>14549</v>
      </c>
      <c r="Z22" s="40">
        <v>15761</v>
      </c>
      <c r="AA22" s="40">
        <v>16901</v>
      </c>
      <c r="AB22" s="40">
        <v>17486</v>
      </c>
      <c r="AC22" s="40">
        <f>'[1]Segment Sales-Annual'!L6-SUM('[1]Segment Sales-Qty'!Z22:AB22)</f>
        <v>18277</v>
      </c>
      <c r="AD22" s="40">
        <v>19516</v>
      </c>
      <c r="AE22" s="40">
        <v>19821</v>
      </c>
      <c r="AF22" s="42">
        <v>19604</v>
      </c>
      <c r="AG22" s="40">
        <v>19188</v>
      </c>
      <c r="AH22" s="40">
        <v>20766</v>
      </c>
      <c r="AI22" s="40">
        <v>20907</v>
      </c>
      <c r="AJ22" s="40">
        <v>21213</v>
      </c>
      <c r="AK22" s="40">
        <f>Segment_A!N6-SUM(Segment_Q!AH22:AJ22)</f>
        <v>22314</v>
      </c>
      <c r="AL22" s="40">
        <v>23117</v>
      </c>
      <c r="AM22" s="40">
        <f>AL22*(1+AM23)</f>
        <v>24029.686284208281</v>
      </c>
      <c r="AN22" s="40">
        <f t="shared" ref="AN22" si="86">AM22*(1+AN23)</f>
        <v>24146.730570747688</v>
      </c>
      <c r="AO22" s="40">
        <f t="shared" ref="AO22" si="87">AN22*(1+AO23)</f>
        <v>25469.914566813102</v>
      </c>
      <c r="AP22" s="40">
        <f t="shared" ref="AP22" si="88">AO22*(1+AP23)</f>
        <v>26924.887205044033</v>
      </c>
      <c r="AQ22" s="40">
        <f t="shared" ref="AQ22" si="89">AP22*(1+AQ23)</f>
        <v>27915.79562672025</v>
      </c>
      <c r="AR22" s="40">
        <f t="shared" ref="AR22" si="90">AQ22*(1+AR23)</f>
        <v>28076.524958682556</v>
      </c>
      <c r="AS22" s="40">
        <f t="shared" ref="AS22" si="91">AR22*(1+AS23)</f>
        <v>29405.100833262026</v>
      </c>
    </row>
    <row r="23" spans="1:45">
      <c r="A23" s="51" t="s">
        <v>533</v>
      </c>
      <c r="B23" s="52"/>
      <c r="C23" s="45">
        <f>C22/B22-1</f>
        <v>4.1050218795582349E-2</v>
      </c>
      <c r="D23" s="45">
        <f t="shared" ref="D23:AD23" si="92">D22/C22-1</f>
        <v>6.4051240992795133E-3</v>
      </c>
      <c r="E23" s="45">
        <f t="shared" si="92"/>
        <v>1.1535401750198959E-2</v>
      </c>
      <c r="F23" s="45">
        <f t="shared" si="92"/>
        <v>0.19071962249311847</v>
      </c>
      <c r="G23" s="45">
        <f t="shared" si="92"/>
        <v>-1.0733157199471544E-2</v>
      </c>
      <c r="H23" s="45">
        <f t="shared" si="92"/>
        <v>-2.5037556334501776E-3</v>
      </c>
      <c r="I23" s="45">
        <f t="shared" si="92"/>
        <v>5.8400267737617195E-2</v>
      </c>
      <c r="J23" s="45">
        <f t="shared" si="92"/>
        <v>0.13391304347826094</v>
      </c>
      <c r="K23" s="45">
        <f t="shared" si="92"/>
        <v>-1.8265476854433915E-2</v>
      </c>
      <c r="L23" s="45">
        <f t="shared" si="92"/>
        <v>3.195568811248406E-2</v>
      </c>
      <c r="M23" s="46">
        <f t="shared" si="92"/>
        <v>0.54431599229287086</v>
      </c>
      <c r="N23" s="45"/>
      <c r="O23" s="45">
        <f t="shared" si="92"/>
        <v>7.897907766458534E-2</v>
      </c>
      <c r="P23" s="45">
        <f t="shared" si="92"/>
        <v>3.2487309644670059E-2</v>
      </c>
      <c r="Q23" s="45">
        <f t="shared" si="92"/>
        <v>4.2182890855457122E-2</v>
      </c>
      <c r="R23" s="45">
        <f t="shared" si="92"/>
        <v>2.6040192470987877E-2</v>
      </c>
      <c r="S23" s="45">
        <f t="shared" si="92"/>
        <v>5.2873563218390762E-2</v>
      </c>
      <c r="T23" s="45">
        <f t="shared" si="92"/>
        <v>4.3668122270745791E-4</v>
      </c>
      <c r="U23" s="45">
        <f t="shared" si="92"/>
        <v>9.2186817983413327E-2</v>
      </c>
      <c r="V23" s="45">
        <f t="shared" si="92"/>
        <v>1.6305651027096246E-2</v>
      </c>
      <c r="W23" s="45">
        <f t="shared" si="92"/>
        <v>4.9783720015729394E-2</v>
      </c>
      <c r="X23" s="45">
        <f t="shared" si="92"/>
        <v>-1.4384177404854648E-2</v>
      </c>
      <c r="Y23" s="45">
        <f t="shared" si="92"/>
        <v>0.10588324718759501</v>
      </c>
      <c r="Z23" s="45">
        <f t="shared" si="92"/>
        <v>8.3304694480720309E-2</v>
      </c>
      <c r="AA23" s="45">
        <f t="shared" si="92"/>
        <v>7.2330435886047928E-2</v>
      </c>
      <c r="AB23" s="45">
        <f t="shared" si="92"/>
        <v>3.4613336488965141E-2</v>
      </c>
      <c r="AC23" s="45">
        <f t="shared" si="92"/>
        <v>4.5236188951160994E-2</v>
      </c>
      <c r="AD23" s="45">
        <f t="shared" si="92"/>
        <v>6.7790118728456639E-2</v>
      </c>
      <c r="AE23" s="45">
        <f>AE22/AD22-1</f>
        <v>1.5628202500512334E-2</v>
      </c>
      <c r="AF23" s="47">
        <f t="shared" ref="AF23:AG23" si="93">AF22/AE22-1</f>
        <v>-1.0947984460925264E-2</v>
      </c>
      <c r="AG23" s="45">
        <f t="shared" si="93"/>
        <v>-2.1220159151193685E-2</v>
      </c>
      <c r="AH23" s="45">
        <f>AH22/AG22-1</f>
        <v>8.2238899312069957E-2</v>
      </c>
      <c r="AI23" s="45">
        <f t="shared" ref="AI23:AL23" si="94">AI22/AH22-1</f>
        <v>6.7899451025714708E-3</v>
      </c>
      <c r="AJ23" s="45">
        <f t="shared" si="94"/>
        <v>1.4636246233318939E-2</v>
      </c>
      <c r="AK23" s="45">
        <f t="shared" si="94"/>
        <v>5.1902135482958522E-2</v>
      </c>
      <c r="AL23" s="45">
        <f t="shared" si="94"/>
        <v>3.5986376266021303E-2</v>
      </c>
      <c r="AM23" s="45">
        <f t="shared" ref="AM23" si="95">AVERAGE(AI23,AE23,AA23,W23,S23)</f>
        <v>3.9481173344650379E-2</v>
      </c>
      <c r="AN23" s="45">
        <f t="shared" ref="AN23" si="96">AVERAGE(AJ23,AF23,AB23,X23,T23)</f>
        <v>4.8708204158423255E-3</v>
      </c>
      <c r="AO23" s="45">
        <f t="shared" ref="AO23" si="97">AVERAGE(AK23,AG23,AC23,Y23,U23)</f>
        <v>5.4797646090786835E-2</v>
      </c>
      <c r="AP23" s="45">
        <f>AVERAGE(AL23,AH23,AD23,Z23,V23)</f>
        <v>5.7125147962872894E-2</v>
      </c>
      <c r="AQ23" s="45">
        <f t="shared" ref="AQ23" si="98">AVERAGE(AM23,AI23,AE23,AA23,W23)</f>
        <v>3.68026953699023E-2</v>
      </c>
      <c r="AR23" s="45">
        <f t="shared" ref="AR23" si="99">AVERAGE(AN23,AJ23,AF23,AB23,X23)</f>
        <v>5.7576482544692987E-3</v>
      </c>
      <c r="AS23" s="45">
        <f t="shared" ref="AS23" si="100">AVERAGE(AO23,AK23,AG23,AC23,Y23)</f>
        <v>4.7319811712261531E-2</v>
      </c>
    </row>
    <row r="24" spans="1:45">
      <c r="A24" s="43" t="s">
        <v>534</v>
      </c>
      <c r="B24" s="44"/>
      <c r="C24" s="44"/>
      <c r="D24" s="44"/>
      <c r="E24" s="44"/>
      <c r="F24" s="45">
        <f>F22/B22-1</f>
        <v>0.2619295686601375</v>
      </c>
      <c r="G24" s="45">
        <f t="shared" ref="G24:AI24" si="101">G22/C22-1</f>
        <v>0.19915932746196963</v>
      </c>
      <c r="H24" s="45">
        <f t="shared" si="101"/>
        <v>0.1885441527446301</v>
      </c>
      <c r="I24" s="45">
        <f t="shared" si="101"/>
        <v>0.24360990955564299</v>
      </c>
      <c r="J24" s="45">
        <f t="shared" si="101"/>
        <v>0.18428005284015847</v>
      </c>
      <c r="K24" s="45">
        <f t="shared" si="101"/>
        <v>0.17526289434151221</v>
      </c>
      <c r="L24" s="45">
        <f t="shared" si="101"/>
        <v>0.21586345381526106</v>
      </c>
      <c r="M24" s="46">
        <f t="shared" si="101"/>
        <v>0.77407114624505935</v>
      </c>
      <c r="N24" s="45"/>
      <c r="O24" s="45"/>
      <c r="P24" s="45"/>
      <c r="Q24" s="45"/>
      <c r="R24" s="45">
        <f t="shared" si="101"/>
        <v>0.19125862635557023</v>
      </c>
      <c r="S24" s="45">
        <f t="shared" si="101"/>
        <v>0.1624365482233503</v>
      </c>
      <c r="T24" s="45">
        <f t="shared" si="101"/>
        <v>0.12635201573254662</v>
      </c>
      <c r="U24" s="45">
        <f t="shared" si="101"/>
        <v>0.18039437682800274</v>
      </c>
      <c r="V24" s="45">
        <f t="shared" si="101"/>
        <v>0.16919540229885066</v>
      </c>
      <c r="W24" s="45">
        <f t="shared" si="101"/>
        <v>0.16576419213973792</v>
      </c>
      <c r="X24" s="45">
        <f t="shared" si="101"/>
        <v>0.14849410737669144</v>
      </c>
      <c r="Y24" s="45">
        <f t="shared" si="101"/>
        <v>0.16289665094716654</v>
      </c>
      <c r="Z24" s="45">
        <f t="shared" si="101"/>
        <v>0.23955957530475813</v>
      </c>
      <c r="AA24" s="45">
        <f t="shared" si="101"/>
        <v>0.26618219958046141</v>
      </c>
      <c r="AB24" s="45">
        <f t="shared" si="101"/>
        <v>0.32912739434478566</v>
      </c>
      <c r="AC24" s="45">
        <f t="shared" si="101"/>
        <v>0.25623754209911342</v>
      </c>
      <c r="AD24" s="45">
        <f t="shared" si="101"/>
        <v>0.23824630416851722</v>
      </c>
      <c r="AE24" s="45">
        <f t="shared" si="101"/>
        <v>0.17277084196201398</v>
      </c>
      <c r="AF24" s="47">
        <f t="shared" si="101"/>
        <v>0.12112547180601618</v>
      </c>
      <c r="AG24" s="47">
        <f t="shared" si="101"/>
        <v>4.984406631285232E-2</v>
      </c>
      <c r="AH24" s="47">
        <f t="shared" si="101"/>
        <v>6.4050010248001721E-2</v>
      </c>
      <c r="AI24" s="47">
        <f t="shared" si="101"/>
        <v>5.4790373845921003E-2</v>
      </c>
      <c r="AJ24" s="47">
        <f t="shared" ref="AJ24" si="102">AJ22/AF22-1</f>
        <v>8.2075086716996593E-2</v>
      </c>
      <c r="AK24" s="47">
        <f t="shared" ref="AK24:AL24" si="103">AK22/AG22-1</f>
        <v>0.16291432145090678</v>
      </c>
      <c r="AL24" s="47">
        <f t="shared" si="103"/>
        <v>0.11321390734855052</v>
      </c>
      <c r="AM24" s="45">
        <f t="shared" ref="AM24" si="104">AM22/AI22-1</f>
        <v>0.14936080184666767</v>
      </c>
      <c r="AN24" s="45">
        <f t="shared" ref="AN24" si="105">AN22/AJ22-1</f>
        <v>0.13829871167433594</v>
      </c>
      <c r="AO24" s="45">
        <f t="shared" ref="AO24" si="106">AO22/AK22-1</f>
        <v>0.14143204117653063</v>
      </c>
      <c r="AP24" s="45">
        <f t="shared" ref="AP24" si="107">AP22/AL22-1</f>
        <v>0.16472237768932096</v>
      </c>
      <c r="AQ24" s="45">
        <f t="shared" ref="AQ24" si="108">AQ22/AM22-1</f>
        <v>0.161721185060407</v>
      </c>
      <c r="AR24" s="45">
        <f t="shared" ref="AR24" si="109">AR22/AN22-1</f>
        <v>0.16274643792545462</v>
      </c>
      <c r="AS24" s="45">
        <f t="shared" ref="AS24" si="110">AS22/AO22-1</f>
        <v>0.15450331629994585</v>
      </c>
    </row>
    <row r="25" spans="1:45">
      <c r="A25" s="37" t="s">
        <v>688</v>
      </c>
      <c r="B25" s="48">
        <f>B22/B$32</f>
        <v>6.4330621053901527E-2</v>
      </c>
      <c r="C25" s="48">
        <f t="shared" ref="C25:AK25" si="111">C22/C$32</f>
        <v>8.6123082227202205E-2</v>
      </c>
      <c r="D25" s="48">
        <f t="shared" si="111"/>
        <v>0.10136074992440278</v>
      </c>
      <c r="E25" s="48">
        <f t="shared" si="111"/>
        <v>9.8755363973515073E-2</v>
      </c>
      <c r="F25" s="48">
        <f t="shared" si="111"/>
        <v>7.9818641923239134E-2</v>
      </c>
      <c r="G25" s="48">
        <f t="shared" si="111"/>
        <v>0.11849991099155409</v>
      </c>
      <c r="H25" s="48">
        <f t="shared" si="111"/>
        <v>0.14108314840171868</v>
      </c>
      <c r="I25" s="48">
        <f t="shared" si="111"/>
        <v>0.13499957312387945</v>
      </c>
      <c r="J25" s="48">
        <f t="shared" si="111"/>
        <v>9.1536802338196069E-2</v>
      </c>
      <c r="K25" s="48">
        <f t="shared" si="111"/>
        <v>0.13311025408348456</v>
      </c>
      <c r="L25" s="48">
        <f t="shared" si="111"/>
        <v>0.16001585623678646</v>
      </c>
      <c r="M25" s="49">
        <f t="shared" si="111"/>
        <v>0.21341219878658779</v>
      </c>
      <c r="N25" s="48">
        <f t="shared" si="111"/>
        <v>0.10339438007543067</v>
      </c>
      <c r="O25" s="48">
        <f t="shared" si="111"/>
        <v>0.16111356461717127</v>
      </c>
      <c r="P25" s="48">
        <f t="shared" si="111"/>
        <v>0.19093213179386087</v>
      </c>
      <c r="Q25" s="48">
        <f t="shared" si="111"/>
        <v>0.16850556438791733</v>
      </c>
      <c r="R25" s="48">
        <f t="shared" si="111"/>
        <v>0.12898825762068555</v>
      </c>
      <c r="S25" s="48">
        <f t="shared" si="111"/>
        <v>0.19736275101266915</v>
      </c>
      <c r="T25" s="48">
        <f t="shared" si="111"/>
        <v>0.21288260328197886</v>
      </c>
      <c r="U25" s="48">
        <f t="shared" si="111"/>
        <v>0.19536227357901312</v>
      </c>
      <c r="V25" s="48">
        <f t="shared" si="111"/>
        <v>0.1384789640488352</v>
      </c>
      <c r="W25" s="48">
        <f t="shared" si="111"/>
        <v>0.22890264606519986</v>
      </c>
      <c r="X25" s="48">
        <f t="shared" si="111"/>
        <v>0.22042389210019267</v>
      </c>
      <c r="Y25" s="48">
        <f t="shared" si="111"/>
        <v>0.22487557575195524</v>
      </c>
      <c r="Z25" s="48">
        <f t="shared" si="111"/>
        <v>0.14143163524439378</v>
      </c>
      <c r="AA25" s="48">
        <f t="shared" si="111"/>
        <v>0.18866092159314163</v>
      </c>
      <c r="AB25" s="48">
        <f t="shared" si="111"/>
        <v>0.21472603580813909</v>
      </c>
      <c r="AC25" s="48">
        <f t="shared" si="111"/>
        <v>0.2192538387715931</v>
      </c>
      <c r="AD25" s="48">
        <f t="shared" si="111"/>
        <v>0.15745693654443504</v>
      </c>
      <c r="AE25" s="48">
        <f t="shared" si="111"/>
        <v>0.20375624498858941</v>
      </c>
      <c r="AF25" s="50">
        <f t="shared" si="111"/>
        <v>0.2363095022842609</v>
      </c>
      <c r="AG25" s="48">
        <f t="shared" si="111"/>
        <v>0.21285470237170812</v>
      </c>
      <c r="AH25" s="48">
        <f t="shared" si="111"/>
        <v>0.17725387097324888</v>
      </c>
      <c r="AI25" s="48">
        <f t="shared" si="111"/>
        <v>0.22045425787675565</v>
      </c>
      <c r="AJ25" s="48">
        <f t="shared" si="111"/>
        <v>0.25933713950389381</v>
      </c>
      <c r="AK25" s="48">
        <f t="shared" si="111"/>
        <v>0.24932400724038525</v>
      </c>
      <c r="AL25" s="48">
        <f t="shared" ref="AL25:AS25" si="112">AL22/AL$32</f>
        <v>0.1933263642065649</v>
      </c>
      <c r="AM25" s="48">
        <f t="shared" si="112"/>
        <v>0.24679666172656137</v>
      </c>
      <c r="AN25" s="48">
        <f t="shared" si="112"/>
        <v>0.27011532326412574</v>
      </c>
      <c r="AO25" s="48">
        <f t="shared" si="112"/>
        <v>0.26000585474321564</v>
      </c>
      <c r="AP25" s="48">
        <f t="shared" si="112"/>
        <v>0.19635664634485775</v>
      </c>
      <c r="AQ25" s="48">
        <f t="shared" si="112"/>
        <v>0.26220738585645031</v>
      </c>
      <c r="AR25" s="48">
        <f t="shared" si="112"/>
        <v>0.28774757526887679</v>
      </c>
      <c r="AS25" s="48">
        <f t="shared" si="112"/>
        <v>0.28105139128586398</v>
      </c>
    </row>
    <row r="26" spans="1:45">
      <c r="A26" s="37"/>
      <c r="B26" s="48"/>
      <c r="C26" s="48"/>
      <c r="D26" s="48"/>
      <c r="E26" s="48"/>
      <c r="F26" s="48"/>
      <c r="G26" s="48"/>
      <c r="H26" s="48"/>
      <c r="I26" s="48"/>
      <c r="J26" s="48"/>
      <c r="K26" s="48"/>
      <c r="L26" s="48"/>
      <c r="M26" s="49"/>
      <c r="N26" s="48"/>
      <c r="O26" s="48"/>
      <c r="P26" s="48"/>
      <c r="Q26" s="48"/>
      <c r="R26" s="48"/>
      <c r="S26" s="48"/>
      <c r="T26" s="48"/>
      <c r="U26" s="48"/>
      <c r="V26" s="48"/>
      <c r="W26" s="48"/>
      <c r="X26" s="48"/>
      <c r="Y26" s="48"/>
      <c r="Z26" s="48"/>
      <c r="AA26" s="48"/>
      <c r="AB26" s="48"/>
      <c r="AC26" s="48"/>
      <c r="AD26" s="48"/>
      <c r="AE26" s="48"/>
      <c r="AF26" s="50"/>
      <c r="AG26" s="48"/>
      <c r="AH26" s="48"/>
      <c r="AI26" s="48"/>
      <c r="AJ26" s="48"/>
      <c r="AK26" s="48"/>
    </row>
    <row r="27" spans="1:45">
      <c r="A27" s="53" t="s">
        <v>539</v>
      </c>
      <c r="B27" s="40">
        <v>2689</v>
      </c>
      <c r="C27" s="40">
        <v>1689</v>
      </c>
      <c r="D27" s="40">
        <v>2641</v>
      </c>
      <c r="E27" s="40">
        <f>'[1]Segment Sales-Annual'!F7-SUM('[1]Segment Sales-Qty'!B27:D27)</f>
        <v>3048</v>
      </c>
      <c r="F27" s="40">
        <v>4351</v>
      </c>
      <c r="G27" s="40">
        <v>2189</v>
      </c>
      <c r="H27" s="40">
        <v>2219</v>
      </c>
      <c r="I27" s="40">
        <f>'[1]Segment Sales-Annual'!G7-SUM('[1]Segment Sales-Qty'!F27:H27)</f>
        <v>2373</v>
      </c>
      <c r="J27" s="40">
        <v>4024</v>
      </c>
      <c r="K27" s="40">
        <v>2873</v>
      </c>
      <c r="L27" s="40">
        <v>2735</v>
      </c>
      <c r="M27" s="41"/>
      <c r="N27" s="40"/>
      <c r="O27" s="40"/>
      <c r="P27" s="40"/>
      <c r="Q27" s="40"/>
      <c r="R27" s="40"/>
      <c r="S27" s="40"/>
      <c r="T27" s="40"/>
      <c r="U27" s="40"/>
      <c r="V27" s="40"/>
      <c r="W27" s="40"/>
      <c r="X27" s="40"/>
      <c r="Y27" s="40"/>
      <c r="Z27" s="40"/>
      <c r="AA27" s="40"/>
      <c r="AB27" s="40"/>
      <c r="AC27" s="40"/>
      <c r="AD27" s="40"/>
      <c r="AE27" s="40"/>
      <c r="AF27" s="42"/>
      <c r="AG27" s="40"/>
      <c r="AH27" s="40"/>
      <c r="AI27" s="40"/>
      <c r="AJ27" s="40"/>
      <c r="AK27" s="40"/>
    </row>
    <row r="28" spans="1:45">
      <c r="A28" s="51" t="s">
        <v>533</v>
      </c>
      <c r="B28" s="48"/>
      <c r="C28" s="45">
        <f>C27/B27-1</f>
        <v>-0.37188545927854222</v>
      </c>
      <c r="D28" s="45">
        <f t="shared" ref="D28:L28" si="113">D27/C27-1</f>
        <v>0.56364712847838949</v>
      </c>
      <c r="E28" s="45">
        <f t="shared" si="113"/>
        <v>0.15410829231351753</v>
      </c>
      <c r="F28" s="45">
        <f t="shared" si="113"/>
        <v>0.42749343832021003</v>
      </c>
      <c r="G28" s="45">
        <f t="shared" si="113"/>
        <v>-0.49689726499655251</v>
      </c>
      <c r="H28" s="45">
        <f t="shared" si="113"/>
        <v>1.3704888076747412E-2</v>
      </c>
      <c r="I28" s="45">
        <f t="shared" si="113"/>
        <v>6.9400630914826511E-2</v>
      </c>
      <c r="J28" s="45">
        <f t="shared" si="113"/>
        <v>0.69574378423935945</v>
      </c>
      <c r="K28" s="45">
        <f t="shared" si="113"/>
        <v>-0.28603379721669975</v>
      </c>
      <c r="L28" s="45">
        <f t="shared" si="113"/>
        <v>-4.8033414549251696E-2</v>
      </c>
      <c r="M28" s="46"/>
      <c r="N28" s="45"/>
      <c r="O28" s="45"/>
      <c r="P28" s="45"/>
      <c r="Q28" s="45"/>
      <c r="R28" s="45"/>
      <c r="S28" s="45"/>
      <c r="T28" s="45"/>
      <c r="U28" s="45"/>
      <c r="V28" s="45"/>
      <c r="W28" s="45"/>
      <c r="X28" s="45"/>
      <c r="Y28" s="45"/>
      <c r="Z28" s="45"/>
      <c r="AA28" s="45"/>
      <c r="AB28" s="45"/>
      <c r="AC28" s="45"/>
      <c r="AD28" s="45"/>
      <c r="AE28" s="45"/>
      <c r="AF28" s="47"/>
      <c r="AG28" s="45"/>
      <c r="AH28" s="45"/>
      <c r="AI28" s="45"/>
      <c r="AJ28" s="45"/>
      <c r="AK28" s="45"/>
    </row>
    <row r="29" spans="1:45">
      <c r="A29" s="43" t="s">
        <v>534</v>
      </c>
      <c r="B29" s="48"/>
      <c r="C29" s="48"/>
      <c r="D29" s="48"/>
      <c r="E29" s="48"/>
      <c r="F29" s="45">
        <f>F27/B27-1</f>
        <v>0.61807363332093712</v>
      </c>
      <c r="G29" s="45">
        <f t="shared" ref="G29:L29" si="114">G27/C27-1</f>
        <v>0.29603315571343991</v>
      </c>
      <c r="H29" s="45">
        <f t="shared" si="114"/>
        <v>-0.15978795910639909</v>
      </c>
      <c r="I29" s="45">
        <f t="shared" si="114"/>
        <v>-0.22145669291338588</v>
      </c>
      <c r="J29" s="45">
        <f t="shared" si="114"/>
        <v>-7.515513675017238E-2</v>
      </c>
      <c r="K29" s="45">
        <f t="shared" si="114"/>
        <v>0.31247144814984007</v>
      </c>
      <c r="L29" s="45">
        <f t="shared" si="114"/>
        <v>0.23253717890941861</v>
      </c>
      <c r="M29" s="46"/>
      <c r="N29" s="45"/>
      <c r="O29" s="45"/>
      <c r="P29" s="45"/>
      <c r="Q29" s="45"/>
      <c r="R29" s="45"/>
      <c r="S29" s="45"/>
      <c r="T29" s="45"/>
      <c r="U29" s="45"/>
      <c r="V29" s="45"/>
      <c r="W29" s="45"/>
      <c r="X29" s="45"/>
      <c r="Y29" s="45"/>
      <c r="Z29" s="45"/>
      <c r="AA29" s="45"/>
      <c r="AB29" s="45"/>
      <c r="AC29" s="45"/>
      <c r="AD29" s="45"/>
      <c r="AE29" s="45"/>
      <c r="AF29" s="47"/>
      <c r="AG29" s="45"/>
      <c r="AH29" s="45"/>
      <c r="AI29" s="45"/>
      <c r="AJ29" s="45"/>
      <c r="AK29" s="45"/>
    </row>
    <row r="30" spans="1:45">
      <c r="A30" s="37" t="s">
        <v>688</v>
      </c>
      <c r="B30" s="48">
        <f>B27/B$32</f>
        <v>3.6046059598654139E-2</v>
      </c>
      <c r="C30" s="48">
        <f t="shared" ref="C30:L30" si="115">C27/C$32</f>
        <v>2.91156697121186E-2</v>
      </c>
      <c r="D30" s="48">
        <f t="shared" si="115"/>
        <v>5.3240600745892548E-2</v>
      </c>
      <c r="E30" s="48">
        <f t="shared" si="115"/>
        <v>5.9183316828799439E-2</v>
      </c>
      <c r="F30" s="48">
        <f t="shared" si="115"/>
        <v>5.7346583719949391E-2</v>
      </c>
      <c r="G30" s="48">
        <f t="shared" si="115"/>
        <v>4.3297664022786161E-2</v>
      </c>
      <c r="H30" s="48">
        <f t="shared" si="115"/>
        <v>5.2386798243543135E-2</v>
      </c>
      <c r="I30" s="48">
        <f t="shared" si="115"/>
        <v>5.0648851703235721E-2</v>
      </c>
      <c r="J30" s="48">
        <f t="shared" si="115"/>
        <v>5.1358629755842301E-2</v>
      </c>
      <c r="K30" s="48">
        <f t="shared" si="115"/>
        <v>5.4314125831820929E-2</v>
      </c>
      <c r="L30" s="48">
        <f t="shared" si="115"/>
        <v>6.0231677237491191E-2</v>
      </c>
      <c r="M30" s="49"/>
      <c r="N30" s="48"/>
      <c r="O30" s="48"/>
      <c r="P30" s="48"/>
      <c r="Q30" s="48"/>
      <c r="R30" s="48"/>
      <c r="S30" s="48"/>
      <c r="T30" s="48"/>
      <c r="U30" s="48"/>
      <c r="V30" s="48"/>
      <c r="W30" s="48"/>
      <c r="X30" s="48"/>
      <c r="Y30" s="48"/>
      <c r="Z30" s="48"/>
      <c r="AA30" s="48"/>
      <c r="AB30" s="48"/>
      <c r="AC30" s="48"/>
      <c r="AD30" s="48"/>
      <c r="AE30" s="48"/>
      <c r="AF30" s="50"/>
      <c r="AG30" s="48"/>
      <c r="AH30" s="48"/>
      <c r="AI30" s="48"/>
      <c r="AJ30" s="48"/>
      <c r="AK30" s="48"/>
    </row>
    <row r="31" spans="1:45">
      <c r="A31" s="37"/>
      <c r="B31" s="48"/>
      <c r="C31" s="48"/>
      <c r="D31" s="48"/>
      <c r="E31" s="48"/>
      <c r="F31" s="48"/>
      <c r="G31" s="48"/>
      <c r="H31" s="48"/>
      <c r="I31" s="48"/>
      <c r="J31" s="48"/>
      <c r="K31" s="48"/>
      <c r="L31" s="48"/>
      <c r="M31" s="49"/>
      <c r="N31" s="48"/>
      <c r="O31" s="48"/>
      <c r="P31" s="48"/>
      <c r="Q31" s="48"/>
      <c r="R31" s="48"/>
      <c r="S31" s="48"/>
      <c r="T31" s="48"/>
      <c r="U31" s="48"/>
      <c r="V31" s="48"/>
      <c r="W31" s="48"/>
      <c r="X31" s="48"/>
      <c r="Y31" s="48"/>
      <c r="Z31" s="48"/>
      <c r="AA31" s="48"/>
      <c r="AB31" s="48"/>
      <c r="AC31" s="48"/>
      <c r="AD31" s="48"/>
      <c r="AE31" s="48"/>
      <c r="AF31" s="50"/>
      <c r="AG31" s="48"/>
      <c r="AH31" s="48"/>
      <c r="AI31" s="48"/>
      <c r="AJ31" s="48"/>
      <c r="AK31" s="48"/>
    </row>
    <row r="32" spans="1:45">
      <c r="A32" s="39" t="s">
        <v>540</v>
      </c>
      <c r="B32" s="54">
        <f>B2+B7+B12+B17+B22+B27</f>
        <v>74599</v>
      </c>
      <c r="C32" s="54">
        <f t="shared" ref="C32:AK32" si="116">C2+C7+C12+C17+C22+C27</f>
        <v>58010</v>
      </c>
      <c r="D32" s="54">
        <f t="shared" si="116"/>
        <v>49605</v>
      </c>
      <c r="E32" s="54">
        <f t="shared" si="116"/>
        <v>51501</v>
      </c>
      <c r="F32" s="54">
        <f t="shared" si="116"/>
        <v>75872</v>
      </c>
      <c r="G32" s="54">
        <f t="shared" si="116"/>
        <v>50557</v>
      </c>
      <c r="H32" s="54">
        <f t="shared" si="116"/>
        <v>42358</v>
      </c>
      <c r="I32" s="54">
        <f t="shared" si="116"/>
        <v>46852</v>
      </c>
      <c r="J32" s="54">
        <f t="shared" si="116"/>
        <v>78351</v>
      </c>
      <c r="K32" s="54">
        <f t="shared" si="116"/>
        <v>52896</v>
      </c>
      <c r="L32" s="54">
        <f t="shared" si="116"/>
        <v>45408</v>
      </c>
      <c r="M32" s="55">
        <f>'[1]Segment Sales-Annual'!H8-SUM('[1]Segment Sales-Qty'!J32:L32)</f>
        <v>52579</v>
      </c>
      <c r="N32" s="54">
        <f t="shared" si="116"/>
        <v>88293</v>
      </c>
      <c r="O32" s="54">
        <f t="shared" si="116"/>
        <v>61137</v>
      </c>
      <c r="P32" s="54">
        <f t="shared" si="116"/>
        <v>53265</v>
      </c>
      <c r="Q32" s="54">
        <f t="shared" si="116"/>
        <v>62900</v>
      </c>
      <c r="R32" s="54">
        <f>R2+R7+R12+R17+R22+R27</f>
        <v>84310</v>
      </c>
      <c r="S32" s="54">
        <f t="shared" si="116"/>
        <v>58015</v>
      </c>
      <c r="T32" s="54">
        <f t="shared" si="116"/>
        <v>53809</v>
      </c>
      <c r="U32" s="54">
        <f t="shared" si="116"/>
        <v>64040</v>
      </c>
      <c r="V32" s="54">
        <f t="shared" si="116"/>
        <v>91819</v>
      </c>
      <c r="W32" s="54">
        <f t="shared" si="116"/>
        <v>58313</v>
      </c>
      <c r="X32" s="54">
        <f t="shared" si="116"/>
        <v>59685</v>
      </c>
      <c r="Y32" s="54">
        <f t="shared" si="116"/>
        <v>64698</v>
      </c>
      <c r="Z32" s="54">
        <f t="shared" si="116"/>
        <v>111439</v>
      </c>
      <c r="AA32" s="54">
        <f>AA2+AA7+AA12+AA17+AA22+AA27</f>
        <v>89584</v>
      </c>
      <c r="AB32" s="54">
        <f t="shared" si="116"/>
        <v>81434</v>
      </c>
      <c r="AC32" s="54">
        <f t="shared" si="116"/>
        <v>83360</v>
      </c>
      <c r="AD32" s="54">
        <f t="shared" si="116"/>
        <v>123945</v>
      </c>
      <c r="AE32" s="54">
        <f t="shared" si="116"/>
        <v>97278</v>
      </c>
      <c r="AF32" s="56">
        <f t="shared" si="116"/>
        <v>82959</v>
      </c>
      <c r="AG32" s="54">
        <f t="shared" si="116"/>
        <v>90146</v>
      </c>
      <c r="AH32" s="54">
        <f t="shared" si="116"/>
        <v>117154</v>
      </c>
      <c r="AI32" s="54">
        <f t="shared" si="116"/>
        <v>94836</v>
      </c>
      <c r="AJ32" s="54">
        <f t="shared" si="116"/>
        <v>81797</v>
      </c>
      <c r="AK32" s="54">
        <f t="shared" si="116"/>
        <v>89498</v>
      </c>
      <c r="AL32" s="54">
        <f t="shared" ref="AL32:AS32" si="117">AL2+AL7+AL12+AL17+AL22+AL27</f>
        <v>119575</v>
      </c>
      <c r="AM32" s="54">
        <f t="shared" si="117"/>
        <v>97366.334358412016</v>
      </c>
      <c r="AN32" s="54">
        <f t="shared" si="117"/>
        <v>89394.153130425664</v>
      </c>
      <c r="AO32" s="54">
        <f t="shared" si="117"/>
        <v>97959.004007688374</v>
      </c>
      <c r="AP32" s="54">
        <f t="shared" si="117"/>
        <v>137122.3623251149</v>
      </c>
      <c r="AQ32" s="54">
        <f t="shared" si="117"/>
        <v>106464.56634140431</v>
      </c>
      <c r="AR32" s="54">
        <f t="shared" si="117"/>
        <v>97573.45455455991</v>
      </c>
      <c r="AS32" s="54">
        <f t="shared" si="117"/>
        <v>104625.35231983037</v>
      </c>
    </row>
    <row r="33" spans="1:45">
      <c r="A33" s="51" t="s">
        <v>533</v>
      </c>
      <c r="B33" s="52"/>
      <c r="C33" s="45"/>
      <c r="D33" s="45"/>
      <c r="E33" s="45"/>
      <c r="F33" s="45"/>
      <c r="G33" s="45"/>
      <c r="H33" s="45"/>
      <c r="I33" s="45"/>
      <c r="J33" s="45"/>
      <c r="K33" s="45"/>
      <c r="L33" s="45"/>
      <c r="M33" s="46"/>
      <c r="N33" s="45"/>
      <c r="O33" s="45">
        <f t="shared" ref="O33:AK33" si="118">O32/N32-1</f>
        <v>-0.30756685127926331</v>
      </c>
      <c r="P33" s="45">
        <f t="shared" si="118"/>
        <v>-0.12875999803719518</v>
      </c>
      <c r="Q33" s="45">
        <f t="shared" si="118"/>
        <v>0.1808880127663568</v>
      </c>
      <c r="R33" s="45">
        <f t="shared" si="118"/>
        <v>0.34038155802861692</v>
      </c>
      <c r="S33" s="45">
        <f t="shared" si="118"/>
        <v>-0.31188471118491279</v>
      </c>
      <c r="T33" s="45">
        <f t="shared" si="118"/>
        <v>-7.2498491769369955E-2</v>
      </c>
      <c r="U33" s="45">
        <f t="shared" si="118"/>
        <v>0.19013547919493012</v>
      </c>
      <c r="V33" s="45">
        <f t="shared" si="118"/>
        <v>0.43377576514678329</v>
      </c>
      <c r="W33" s="45">
        <f t="shared" si="118"/>
        <v>-0.36491357997800022</v>
      </c>
      <c r="X33" s="45">
        <f t="shared" si="118"/>
        <v>2.3528201258724568E-2</v>
      </c>
      <c r="Y33" s="45">
        <f t="shared" si="118"/>
        <v>8.399095250062838E-2</v>
      </c>
      <c r="Z33" s="45">
        <f t="shared" si="118"/>
        <v>0.72244891650437415</v>
      </c>
      <c r="AA33" s="45">
        <f t="shared" si="118"/>
        <v>-0.19611626091404266</v>
      </c>
      <c r="AB33" s="45">
        <f t="shared" si="118"/>
        <v>-9.0976067154849072E-2</v>
      </c>
      <c r="AC33" s="45">
        <f t="shared" si="118"/>
        <v>2.3651054841957952E-2</v>
      </c>
      <c r="AD33" s="45">
        <f t="shared" si="118"/>
        <v>0.48686420345489445</v>
      </c>
      <c r="AE33" s="45">
        <f t="shared" si="118"/>
        <v>-0.21515188188309331</v>
      </c>
      <c r="AF33" s="47">
        <f t="shared" si="118"/>
        <v>-0.14719669401097879</v>
      </c>
      <c r="AG33" s="45">
        <f t="shared" si="118"/>
        <v>8.6633156137368994E-2</v>
      </c>
      <c r="AH33" s="45">
        <f t="shared" si="118"/>
        <v>0.29960286646107415</v>
      </c>
      <c r="AI33" s="45">
        <f t="shared" si="118"/>
        <v>-0.19050139133106847</v>
      </c>
      <c r="AJ33" s="45">
        <f t="shared" si="118"/>
        <v>-0.13748998270698887</v>
      </c>
      <c r="AK33" s="45">
        <f t="shared" si="118"/>
        <v>9.4147707128623193E-2</v>
      </c>
      <c r="AL33" s="45">
        <f t="shared" ref="AL33" si="119">AL32/AK32-1</f>
        <v>0.33606337571789324</v>
      </c>
      <c r="AM33" s="45">
        <f t="shared" ref="AM33" si="120">AM32/AL32-1</f>
        <v>-0.18573000745630763</v>
      </c>
      <c r="AN33" s="45">
        <f t="shared" ref="AN33" si="121">AN32/AM32-1</f>
        <v>-8.1878210579852118E-2</v>
      </c>
      <c r="AO33" s="45">
        <f t="shared" ref="AO33" si="122">AO32/AN32-1</f>
        <v>9.580996717723389E-2</v>
      </c>
      <c r="AP33" s="45">
        <f t="shared" ref="AP33" si="123">AP32/AO32-1</f>
        <v>0.39979334941331945</v>
      </c>
      <c r="AQ33" s="45">
        <f t="shared" ref="AQ33" si="124">AQ32/AP32-1</f>
        <v>-0.22357984112774731</v>
      </c>
      <c r="AR33" s="45">
        <f t="shared" ref="AR33" si="125">AR32/AQ32-1</f>
        <v>-8.3512403162690818E-2</v>
      </c>
      <c r="AS33" s="45">
        <f t="shared" ref="AS33" si="126">AS32/AR32-1</f>
        <v>7.2272707750931087E-2</v>
      </c>
    </row>
    <row r="34" spans="1:45">
      <c r="A34" s="43" t="s">
        <v>534</v>
      </c>
      <c r="B34" s="44"/>
      <c r="C34" s="44"/>
      <c r="D34" s="44"/>
      <c r="E34" s="44"/>
      <c r="F34" s="45"/>
      <c r="G34" s="45"/>
      <c r="H34" s="45"/>
      <c r="I34" s="45"/>
      <c r="J34" s="45"/>
      <c r="K34" s="45"/>
      <c r="L34" s="45"/>
      <c r="M34" s="46"/>
      <c r="N34" s="45"/>
      <c r="O34" s="45"/>
      <c r="P34" s="45"/>
      <c r="Q34" s="45"/>
      <c r="R34" s="45">
        <f t="shared" ref="R34:AK34" si="127">R32/N32-1</f>
        <v>-4.5111163965433243E-2</v>
      </c>
      <c r="S34" s="45">
        <f t="shared" si="127"/>
        <v>-5.1065639465462831E-2</v>
      </c>
      <c r="T34" s="45">
        <f t="shared" si="127"/>
        <v>1.0213085515817122E-2</v>
      </c>
      <c r="U34" s="45">
        <f t="shared" si="127"/>
        <v>1.8124006359300449E-2</v>
      </c>
      <c r="V34" s="45">
        <f t="shared" si="127"/>
        <v>8.9064167951607098E-2</v>
      </c>
      <c r="W34" s="45">
        <f t="shared" si="127"/>
        <v>5.1366026027750422E-3</v>
      </c>
      <c r="X34" s="45">
        <f t="shared" si="127"/>
        <v>0.10920106301919752</v>
      </c>
      <c r="Y34" s="45">
        <f t="shared" si="127"/>
        <v>1.0274828232354816E-2</v>
      </c>
      <c r="Z34" s="45">
        <f t="shared" si="127"/>
        <v>0.21368126422635836</v>
      </c>
      <c r="AA34" s="45">
        <f t="shared" si="127"/>
        <v>0.53626121105070901</v>
      </c>
      <c r="AB34" s="45">
        <f t="shared" si="127"/>
        <v>0.36439641450950822</v>
      </c>
      <c r="AC34" s="45">
        <f t="shared" si="127"/>
        <v>0.28844786546724777</v>
      </c>
      <c r="AD34" s="45">
        <f t="shared" si="127"/>
        <v>0.11222283042740866</v>
      </c>
      <c r="AE34" s="45">
        <f t="shared" si="127"/>
        <v>8.5885872477228009E-2</v>
      </c>
      <c r="AF34" s="47">
        <f t="shared" si="127"/>
        <v>1.8726821720657316E-2</v>
      </c>
      <c r="AG34" s="45">
        <f t="shared" si="127"/>
        <v>8.1405950095969182E-2</v>
      </c>
      <c r="AH34" s="45">
        <f t="shared" si="127"/>
        <v>-5.4790431239662762E-2</v>
      </c>
      <c r="AI34" s="45">
        <f t="shared" si="127"/>
        <v>-2.5103312156911084E-2</v>
      </c>
      <c r="AJ34" s="45">
        <f t="shared" si="127"/>
        <v>-1.4006919080509661E-2</v>
      </c>
      <c r="AK34" s="45">
        <f t="shared" si="127"/>
        <v>-7.1883389168682088E-3</v>
      </c>
      <c r="AL34" s="45">
        <f t="shared" ref="AL34" si="128">AL32/AH32-1</f>
        <v>2.0665107465387411E-2</v>
      </c>
      <c r="AM34" s="45">
        <f t="shared" ref="AM34" si="129">AM32/AI32-1</f>
        <v>2.6681158614998646E-2</v>
      </c>
      <c r="AN34" s="45">
        <f t="shared" ref="AN34" si="130">AN32/AJ32-1</f>
        <v>9.2878138934504584E-2</v>
      </c>
      <c r="AO34" s="45">
        <f t="shared" ref="AO34" si="131">AO32/AK32-1</f>
        <v>9.4538470219316384E-2</v>
      </c>
      <c r="AP34" s="45">
        <f t="shared" ref="AP34" si="132">AP32/AL32-1</f>
        <v>0.14674775099406134</v>
      </c>
      <c r="AQ34" s="45">
        <f t="shared" ref="AQ34" si="133">AQ32/AM32-1</f>
        <v>9.3443304022323481E-2</v>
      </c>
      <c r="AR34" s="45">
        <f t="shared" ref="AR34" si="134">AR32/AN32-1</f>
        <v>9.1497051403358398E-2</v>
      </c>
      <c r="AS34" s="45">
        <f t="shared" ref="AS34" si="135">AS32/AO32-1</f>
        <v>6.8052430500608052E-2</v>
      </c>
    </row>
    <row r="35" spans="1:45">
      <c r="A35" s="37"/>
      <c r="B35" s="37"/>
      <c r="C35" s="37"/>
      <c r="D35" s="37"/>
      <c r="E35" s="37"/>
      <c r="F35" s="37"/>
      <c r="G35" s="37"/>
      <c r="H35" s="37"/>
      <c r="I35" s="37"/>
      <c r="J35" s="37"/>
      <c r="K35" s="37"/>
      <c r="L35" s="37"/>
      <c r="M35" s="38"/>
      <c r="N35" s="37"/>
      <c r="O35" s="37"/>
      <c r="P35" s="37"/>
      <c r="Q35" s="37"/>
      <c r="R35" s="37"/>
      <c r="S35" s="37"/>
      <c r="T35" s="37"/>
      <c r="U35" s="37"/>
      <c r="V35" s="37"/>
      <c r="W35" s="37"/>
      <c r="X35" s="37"/>
      <c r="Y35" s="37"/>
      <c r="Z35" s="37"/>
      <c r="AA35" s="37"/>
      <c r="AB35" s="37"/>
      <c r="AC35" s="37"/>
      <c r="AD35" s="37"/>
      <c r="AE35" s="37"/>
      <c r="AF35" s="37"/>
      <c r="AG35" s="37"/>
      <c r="AH35" s="37"/>
      <c r="AI35" s="37"/>
      <c r="AJ35" s="37"/>
      <c r="AK35" s="37"/>
    </row>
    <row r="36" spans="1:45">
      <c r="AL36" s="29" t="s">
        <v>604</v>
      </c>
    </row>
    <row r="37" spans="1:45">
      <c r="AL37" s="29" t="s">
        <v>606</v>
      </c>
      <c r="AM37" s="29">
        <v>0.2</v>
      </c>
      <c r="AN37" s="29">
        <v>0.1</v>
      </c>
      <c r="AO37" s="29">
        <v>0.1</v>
      </c>
      <c r="AP37" s="29">
        <v>0.1</v>
      </c>
      <c r="AQ37" s="29" t="s">
        <v>677</v>
      </c>
    </row>
    <row r="38" spans="1:45">
      <c r="AL38" s="29" t="s">
        <v>607</v>
      </c>
      <c r="AM38" s="29">
        <v>3700</v>
      </c>
      <c r="AN38" s="29">
        <v>3700</v>
      </c>
      <c r="AO38" s="29">
        <v>3700</v>
      </c>
      <c r="AP38" s="29">
        <v>3700</v>
      </c>
      <c r="AQ38" s="29" t="s">
        <v>676</v>
      </c>
    </row>
    <row r="39" spans="1:45">
      <c r="AL39" s="131" t="s">
        <v>605</v>
      </c>
      <c r="AM39" s="131">
        <f>AM37*AM38</f>
        <v>740</v>
      </c>
      <c r="AN39" s="131">
        <f t="shared" ref="AN39:AP39" si="136">AN37*AN38</f>
        <v>370</v>
      </c>
      <c r="AO39" s="131">
        <f t="shared" si="136"/>
        <v>370</v>
      </c>
      <c r="AP39" s="131">
        <f t="shared" si="136"/>
        <v>370</v>
      </c>
      <c r="AQ39" s="29" t="s">
        <v>675</v>
      </c>
    </row>
    <row r="40" spans="1:45">
      <c r="A40" s="37"/>
      <c r="B40" s="37"/>
      <c r="C40" s="37"/>
      <c r="D40" s="37"/>
      <c r="E40" s="37"/>
      <c r="F40" s="37"/>
      <c r="G40" s="37"/>
      <c r="H40" s="37"/>
      <c r="I40" s="37"/>
      <c r="J40" s="37"/>
      <c r="K40" s="37"/>
      <c r="L40" s="37"/>
      <c r="M40" s="38"/>
      <c r="N40" s="37"/>
      <c r="O40" s="37"/>
      <c r="P40" s="37"/>
      <c r="Q40" s="37"/>
      <c r="R40" s="37"/>
      <c r="S40" s="37"/>
      <c r="T40" s="37"/>
      <c r="U40" s="37"/>
      <c r="V40" s="37"/>
      <c r="W40" s="37"/>
      <c r="X40" s="37"/>
      <c r="Y40" s="37"/>
      <c r="Z40" s="37"/>
      <c r="AA40" s="37"/>
      <c r="AB40" s="37"/>
      <c r="AC40" s="37"/>
      <c r="AD40" s="37"/>
      <c r="AE40" s="37"/>
      <c r="AF40" s="37"/>
      <c r="AG40" s="37"/>
      <c r="AH40" s="37"/>
      <c r="AI40" s="37"/>
      <c r="AJ40" s="37"/>
      <c r="AK40" s="37"/>
    </row>
    <row r="41" spans="1:45">
      <c r="A41" s="37"/>
      <c r="B41" s="37"/>
      <c r="C41" s="37"/>
      <c r="D41" s="37"/>
      <c r="E41" s="37"/>
      <c r="F41" s="37"/>
      <c r="G41" s="37"/>
      <c r="H41" s="37"/>
      <c r="I41" s="37"/>
      <c r="J41" s="37"/>
      <c r="K41" s="37"/>
      <c r="L41" s="37"/>
      <c r="M41" s="38"/>
      <c r="N41" s="37"/>
      <c r="O41" s="37"/>
      <c r="P41" s="37"/>
      <c r="Q41" s="37"/>
      <c r="R41" s="37"/>
      <c r="S41" s="37"/>
      <c r="T41" s="37"/>
      <c r="U41" s="37" t="s">
        <v>518</v>
      </c>
      <c r="V41" s="37" t="s">
        <v>519</v>
      </c>
      <c r="W41" s="37" t="s">
        <v>520</v>
      </c>
      <c r="X41" s="37" t="s">
        <v>521</v>
      </c>
      <c r="Y41" s="37" t="s">
        <v>522</v>
      </c>
      <c r="Z41" s="37" t="s">
        <v>523</v>
      </c>
      <c r="AA41" s="37" t="s">
        <v>524</v>
      </c>
      <c r="AB41" s="37" t="s">
        <v>525</v>
      </c>
      <c r="AC41" s="37" t="s">
        <v>526</v>
      </c>
      <c r="AD41" s="37" t="s">
        <v>527</v>
      </c>
      <c r="AE41" s="37" t="s">
        <v>528</v>
      </c>
      <c r="AF41" s="37" t="s">
        <v>529</v>
      </c>
      <c r="AG41" s="37" t="s">
        <v>530</v>
      </c>
      <c r="AH41" s="37" t="s">
        <v>531</v>
      </c>
      <c r="AI41" s="37" t="s">
        <v>678</v>
      </c>
      <c r="AJ41" s="37" t="s">
        <v>679</v>
      </c>
      <c r="AK41" s="37" t="s">
        <v>680</v>
      </c>
      <c r="AL41" s="37" t="s">
        <v>681</v>
      </c>
    </row>
    <row r="42" spans="1:45">
      <c r="A42" s="37"/>
      <c r="B42" s="37"/>
      <c r="C42" s="37"/>
      <c r="D42" s="37"/>
      <c r="E42" s="37"/>
      <c r="F42" s="37"/>
      <c r="G42" s="37"/>
      <c r="H42" s="37"/>
      <c r="I42" s="37"/>
      <c r="J42" s="37"/>
      <c r="K42" s="37"/>
      <c r="L42" s="37"/>
      <c r="M42" s="38"/>
      <c r="N42" s="37"/>
      <c r="O42" s="37"/>
      <c r="P42" s="37"/>
      <c r="Q42" s="37"/>
      <c r="R42" s="37"/>
      <c r="S42" s="37"/>
      <c r="T42" s="37" t="s">
        <v>685</v>
      </c>
      <c r="U42" s="40">
        <v>12511</v>
      </c>
      <c r="V42" s="40">
        <v>12715</v>
      </c>
      <c r="W42" s="40">
        <v>13348</v>
      </c>
      <c r="X42" s="40">
        <v>13156</v>
      </c>
      <c r="Y42" s="40">
        <v>14549</v>
      </c>
      <c r="Z42" s="40">
        <v>15761</v>
      </c>
      <c r="AA42" s="40">
        <v>16901</v>
      </c>
      <c r="AB42" s="40">
        <v>17486</v>
      </c>
      <c r="AC42" s="40">
        <v>18277</v>
      </c>
      <c r="AD42" s="40">
        <v>19516</v>
      </c>
      <c r="AE42" s="40">
        <v>19821</v>
      </c>
      <c r="AF42" s="42">
        <v>19604</v>
      </c>
      <c r="AG42" s="40">
        <v>19188</v>
      </c>
      <c r="AH42" s="37">
        <v>20766</v>
      </c>
      <c r="AI42" s="132">
        <f>AI22</f>
        <v>20907</v>
      </c>
      <c r="AJ42" s="132">
        <f t="shared" ref="AJ42:AL42" si="137">AJ22</f>
        <v>21213</v>
      </c>
      <c r="AK42" s="132">
        <f t="shared" si="137"/>
        <v>22314</v>
      </c>
      <c r="AL42" s="132">
        <f t="shared" si="137"/>
        <v>23117</v>
      </c>
    </row>
    <row r="43" spans="1:45">
      <c r="A43" s="37"/>
      <c r="B43" s="37"/>
      <c r="C43" s="37"/>
      <c r="D43" s="37"/>
      <c r="E43" s="37"/>
      <c r="F43" s="37"/>
      <c r="G43" s="37"/>
      <c r="H43" s="37"/>
      <c r="I43" s="37"/>
      <c r="J43" s="37"/>
      <c r="K43" s="37"/>
      <c r="L43" s="37"/>
      <c r="M43" s="38"/>
      <c r="N43" s="37"/>
      <c r="O43" s="37"/>
      <c r="P43" s="37"/>
      <c r="Q43" s="37"/>
      <c r="R43" s="37"/>
      <c r="S43" s="37"/>
      <c r="T43" s="37" t="s">
        <v>686</v>
      </c>
      <c r="U43" s="37">
        <v>450</v>
      </c>
      <c r="V43" s="37">
        <v>480</v>
      </c>
      <c r="W43" s="37">
        <v>515</v>
      </c>
      <c r="X43" s="37">
        <v>550</v>
      </c>
      <c r="Y43" s="37">
        <v>585</v>
      </c>
      <c r="Z43" s="37">
        <v>620</v>
      </c>
      <c r="AA43" s="37">
        <v>660</v>
      </c>
      <c r="AB43" s="37">
        <v>700</v>
      </c>
      <c r="AC43" s="37">
        <v>745</v>
      </c>
      <c r="AD43" s="37">
        <v>785</v>
      </c>
      <c r="AE43" s="37">
        <v>825</v>
      </c>
      <c r="AF43" s="37">
        <v>860</v>
      </c>
      <c r="AG43" s="37">
        <v>900</v>
      </c>
      <c r="AH43" s="37">
        <v>935</v>
      </c>
      <c r="AI43" s="37">
        <v>975</v>
      </c>
      <c r="AJ43" s="37">
        <f>AI43+150</f>
        <v>1125</v>
      </c>
      <c r="AK43" s="37"/>
    </row>
    <row r="44" spans="1:45">
      <c r="T44" s="29" t="s">
        <v>687</v>
      </c>
      <c r="AJ44" s="29" t="s">
        <v>683</v>
      </c>
      <c r="AK44" s="29" t="s">
        <v>682</v>
      </c>
      <c r="AL44" s="29" t="s">
        <v>682</v>
      </c>
    </row>
  </sheetData>
  <phoneticPr fontId="20" type="noConversion"/>
  <conditionalFormatting sqref="B3:AS4">
    <cfRule type="cellIs" dxfId="11" priority="12" operator="lessThan">
      <formula>0</formula>
    </cfRule>
  </conditionalFormatting>
  <conditionalFormatting sqref="B8:AS9">
    <cfRule type="cellIs" dxfId="10" priority="4" operator="lessThan">
      <formula>0</formula>
    </cfRule>
  </conditionalFormatting>
  <conditionalFormatting sqref="B13:AS14">
    <cfRule type="cellIs" dxfId="9" priority="3" operator="lessThan">
      <formula>0</formula>
    </cfRule>
  </conditionalFormatting>
  <conditionalFormatting sqref="B18:AS19">
    <cfRule type="cellIs" dxfId="8" priority="2" operator="lessThan">
      <formula>0</formula>
    </cfRule>
  </conditionalFormatting>
  <conditionalFormatting sqref="B23:AS24">
    <cfRule type="cellIs" dxfId="7" priority="1" operator="lessThan">
      <formula>0</formula>
    </cfRule>
  </conditionalFormatting>
  <conditionalFormatting sqref="B33:AS34">
    <cfRule type="cellIs" dxfId="6" priority="5" operator="lessThan">
      <formula>0</formula>
    </cfRule>
  </conditionalFormatting>
  <conditionalFormatting sqref="C28:AK28">
    <cfRule type="cellIs" dxfId="5" priority="8" operator="lessThan">
      <formula>0</formula>
    </cfRule>
  </conditionalFormatting>
  <conditionalFormatting sqref="F29:AK29">
    <cfRule type="cellIs" dxfId="4" priority="7"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66F2-E41E-BB4A-9C7D-1DA0B91D7C48}">
  <dimension ref="A1:V26"/>
  <sheetViews>
    <sheetView zoomScale="134" workbookViewId="0">
      <pane xSplit="1" ySplit="1" topLeftCell="H2" activePane="bottomRight" state="frozen"/>
      <selection pane="topRight" activeCell="B1" sqref="B1"/>
      <selection pane="bottomLeft" activeCell="A2" sqref="A2"/>
      <selection pane="bottomRight" activeCell="Q23" sqref="Q23"/>
    </sheetView>
  </sheetViews>
  <sheetFormatPr baseColWidth="10" defaultRowHeight="11"/>
  <sheetData>
    <row r="1" spans="1:22" ht="16">
      <c r="A1" s="37" t="s">
        <v>541</v>
      </c>
      <c r="B1" s="57" t="s">
        <v>508</v>
      </c>
      <c r="C1" s="57" t="s">
        <v>509</v>
      </c>
      <c r="D1" s="57" t="s">
        <v>510</v>
      </c>
      <c r="E1" s="57" t="s">
        <v>511</v>
      </c>
      <c r="F1" s="57" t="s">
        <v>512</v>
      </c>
      <c r="G1" s="57" t="s">
        <v>513</v>
      </c>
      <c r="H1" s="57" t="s">
        <v>514</v>
      </c>
      <c r="I1" s="57" t="s">
        <v>515</v>
      </c>
      <c r="J1" s="57" t="s">
        <v>516</v>
      </c>
      <c r="K1" s="57" t="s">
        <v>517</v>
      </c>
      <c r="L1" s="57" t="s">
        <v>507</v>
      </c>
      <c r="M1" s="57" t="s">
        <v>543</v>
      </c>
      <c r="N1" s="37" t="s">
        <v>544</v>
      </c>
      <c r="O1" s="37" t="s">
        <v>615</v>
      </c>
      <c r="P1" s="37" t="s">
        <v>616</v>
      </c>
      <c r="Q1" s="37" t="s">
        <v>617</v>
      </c>
      <c r="R1" s="37" t="s">
        <v>618</v>
      </c>
      <c r="S1" s="37" t="s">
        <v>619</v>
      </c>
      <c r="T1" s="37" t="s">
        <v>620</v>
      </c>
    </row>
    <row r="2" spans="1:22" ht="16">
      <c r="A2" s="37" t="s">
        <v>532</v>
      </c>
      <c r="B2" s="58">
        <v>45998</v>
      </c>
      <c r="C2" s="58">
        <v>78692</v>
      </c>
      <c r="D2" s="58">
        <v>91279</v>
      </c>
      <c r="E2" s="58">
        <v>101991</v>
      </c>
      <c r="F2" s="58">
        <v>155041</v>
      </c>
      <c r="G2" s="58">
        <v>136700</v>
      </c>
      <c r="H2" s="58">
        <v>139337</v>
      </c>
      <c r="I2" s="58">
        <v>164888</v>
      </c>
      <c r="J2" s="58">
        <v>142381</v>
      </c>
      <c r="K2" s="58">
        <v>137781</v>
      </c>
      <c r="L2" s="58">
        <v>191973</v>
      </c>
      <c r="M2" s="58">
        <v>205489</v>
      </c>
      <c r="N2" s="58">
        <v>200583</v>
      </c>
      <c r="O2" s="58">
        <f>SUM(Segment_Q!AL2:AO2)</f>
        <v>212428.55774258834</v>
      </c>
      <c r="P2" s="58">
        <f>SUM(Segment_Q!AP2:AS2)</f>
        <v>225237.22213102848</v>
      </c>
      <c r="Q2" s="58">
        <f>P2*(1+Q11)</f>
        <v>243256.19990151079</v>
      </c>
      <c r="R2" s="58">
        <f>Q2*(1+R11)</f>
        <v>262716.69589363167</v>
      </c>
      <c r="S2" s="58">
        <f t="shared" ref="S2:T2" si="0">R2*(1+S11)</f>
        <v>283734.03156512219</v>
      </c>
      <c r="T2" s="58">
        <f t="shared" si="0"/>
        <v>306432.75409033196</v>
      </c>
    </row>
    <row r="3" spans="1:22" ht="16">
      <c r="A3" s="37" t="s">
        <v>535</v>
      </c>
      <c r="B3" s="58">
        <v>21783</v>
      </c>
      <c r="C3" s="58">
        <v>23221</v>
      </c>
      <c r="D3" s="58">
        <v>21483</v>
      </c>
      <c r="E3" s="58">
        <v>24079</v>
      </c>
      <c r="F3" s="58">
        <v>25471</v>
      </c>
      <c r="G3" s="58">
        <v>22831</v>
      </c>
      <c r="H3" s="58">
        <v>25569</v>
      </c>
      <c r="I3" s="58">
        <v>25198</v>
      </c>
      <c r="J3" s="58">
        <v>25740</v>
      </c>
      <c r="K3" s="58">
        <v>28622</v>
      </c>
      <c r="L3" s="58">
        <v>35190</v>
      </c>
      <c r="M3" s="58">
        <v>40177</v>
      </c>
      <c r="N3" s="58">
        <v>29357</v>
      </c>
      <c r="O3" s="58">
        <f>SUM(Segment_Q!AL7:AO7)</f>
        <v>30021.780317244011</v>
      </c>
      <c r="P3" s="58">
        <f>SUM(Segment_Q!AP7:AS7)</f>
        <v>32637.112218360951</v>
      </c>
      <c r="Q3" s="58">
        <f t="shared" ref="Q3:T6" si="1">P3*(1+Q12)</f>
        <v>33942.596707095392</v>
      </c>
      <c r="R3" s="58">
        <f t="shared" si="1"/>
        <v>35300.300575379209</v>
      </c>
      <c r="S3" s="58">
        <f t="shared" si="1"/>
        <v>36712.312598394376</v>
      </c>
      <c r="T3" s="58">
        <f>S3*(1+T12)</f>
        <v>38180.805102330152</v>
      </c>
    </row>
    <row r="4" spans="1:22" ht="16">
      <c r="A4" s="37" t="s">
        <v>536</v>
      </c>
      <c r="B4" s="58">
        <v>19168</v>
      </c>
      <c r="C4" s="58">
        <v>30945</v>
      </c>
      <c r="D4" s="58">
        <v>31980</v>
      </c>
      <c r="E4" s="58">
        <v>30283</v>
      </c>
      <c r="F4" s="58">
        <v>23227</v>
      </c>
      <c r="G4" s="58">
        <v>20628</v>
      </c>
      <c r="H4" s="58">
        <v>18802</v>
      </c>
      <c r="I4" s="58">
        <v>18380</v>
      </c>
      <c r="J4" s="58">
        <v>21280</v>
      </c>
      <c r="K4" s="58">
        <v>23724</v>
      </c>
      <c r="L4" s="58">
        <v>31862</v>
      </c>
      <c r="M4" s="58">
        <v>29292</v>
      </c>
      <c r="N4" s="58">
        <v>28300</v>
      </c>
      <c r="O4" s="58">
        <f>SUM(Segment_Q!AL12:AO12)</f>
        <v>25404.559320091634</v>
      </c>
      <c r="P4" s="58">
        <f>SUM(Segment_Q!AP12:AS12)</f>
        <v>27553.821087422897</v>
      </c>
      <c r="Q4" s="58">
        <f t="shared" si="1"/>
        <v>28655.973930919816</v>
      </c>
      <c r="R4" s="58">
        <f t="shared" si="1"/>
        <v>29802.21288815661</v>
      </c>
      <c r="S4" s="58">
        <f>R4*(1+S13)</f>
        <v>30994.301403682875</v>
      </c>
      <c r="T4" s="58">
        <f t="shared" si="1"/>
        <v>32234.073459830193</v>
      </c>
    </row>
    <row r="5" spans="1:22" ht="16">
      <c r="A5" s="37" t="s">
        <v>537</v>
      </c>
      <c r="B5" s="58"/>
      <c r="C5" s="58"/>
      <c r="D5" s="58"/>
      <c r="E5" s="58"/>
      <c r="F5" s="58"/>
      <c r="G5" s="58"/>
      <c r="H5" s="58">
        <v>12826</v>
      </c>
      <c r="I5" s="58">
        <v>17381</v>
      </c>
      <c r="J5" s="58">
        <v>24482</v>
      </c>
      <c r="K5" s="58">
        <v>30620</v>
      </c>
      <c r="L5" s="58">
        <v>38367</v>
      </c>
      <c r="M5" s="58">
        <v>41241</v>
      </c>
      <c r="N5" s="58">
        <v>39845</v>
      </c>
      <c r="O5" s="58">
        <f>SUM(Segment_Q!AL17:AO17)</f>
        <v>39676.262694833014</v>
      </c>
      <c r="P5" s="58">
        <f>SUM(Segment_Q!AP17:AS17)</f>
        <v>48035.271480388299</v>
      </c>
      <c r="Q5" s="58">
        <f t="shared" si="1"/>
        <v>52838.798628427132</v>
      </c>
      <c r="R5" s="58">
        <f>Q5*(1+R14)</f>
        <v>58122.678491269849</v>
      </c>
      <c r="S5" s="58">
        <f t="shared" si="1"/>
        <v>63934.94634039684</v>
      </c>
      <c r="T5" s="58">
        <f t="shared" si="1"/>
        <v>70328.440974436526</v>
      </c>
    </row>
    <row r="6" spans="1:22" ht="16">
      <c r="A6" s="28" t="s">
        <v>538</v>
      </c>
      <c r="B6" s="58">
        <v>9373</v>
      </c>
      <c r="C6" s="58">
        <v>12890</v>
      </c>
      <c r="D6" s="58">
        <v>16051</v>
      </c>
      <c r="E6" s="58">
        <v>18063</v>
      </c>
      <c r="F6" s="58">
        <v>19909</v>
      </c>
      <c r="G6" s="58">
        <v>24348</v>
      </c>
      <c r="H6" s="58">
        <v>32700</v>
      </c>
      <c r="I6" s="58">
        <v>39748</v>
      </c>
      <c r="J6" s="58">
        <v>46291</v>
      </c>
      <c r="K6" s="58">
        <v>53768</v>
      </c>
      <c r="L6" s="58">
        <v>68425</v>
      </c>
      <c r="M6" s="58">
        <v>78129</v>
      </c>
      <c r="N6" s="58">
        <v>85200</v>
      </c>
      <c r="O6" s="58">
        <f>SUM(Segment_Q!AL22:AO22)</f>
        <v>96763.331421769079</v>
      </c>
      <c r="P6" s="58">
        <f>SUM(Segment_Q!AP22:AS22)</f>
        <v>112322.30862370886</v>
      </c>
      <c r="Q6" s="58">
        <f t="shared" si="1"/>
        <v>130293.87800350226</v>
      </c>
      <c r="R6" s="58">
        <f t="shared" si="1"/>
        <v>151140.89848406261</v>
      </c>
      <c r="S6" s="58">
        <f t="shared" si="1"/>
        <v>175323.44224151262</v>
      </c>
      <c r="T6" s="58">
        <f t="shared" si="1"/>
        <v>203375.19300015463</v>
      </c>
    </row>
    <row r="7" spans="1:22" ht="16">
      <c r="A7" s="28" t="s">
        <v>539</v>
      </c>
      <c r="B7" s="58">
        <f>7453+4474</f>
        <v>11927</v>
      </c>
      <c r="C7" s="58">
        <f>5615+5145</f>
        <v>10760</v>
      </c>
      <c r="D7" s="58">
        <v>10117</v>
      </c>
      <c r="E7" s="58">
        <v>8379</v>
      </c>
      <c r="F7" s="58">
        <v>10067</v>
      </c>
      <c r="G7" s="58">
        <v>11132</v>
      </c>
      <c r="H7" s="58"/>
      <c r="I7" s="58"/>
      <c r="J7" s="58"/>
      <c r="K7" s="58"/>
      <c r="L7" s="58"/>
      <c r="M7" s="58"/>
      <c r="N7" s="51"/>
      <c r="O7" s="51"/>
      <c r="P7" s="51"/>
    </row>
    <row r="8" spans="1:22" ht="16">
      <c r="A8" s="37" t="s">
        <v>542</v>
      </c>
      <c r="B8" s="59">
        <f t="shared" ref="B8:J8" si="2">SUM(B2:B7)</f>
        <v>108249</v>
      </c>
      <c r="C8" s="59">
        <f t="shared" si="2"/>
        <v>156508</v>
      </c>
      <c r="D8" s="59">
        <f t="shared" si="2"/>
        <v>170910</v>
      </c>
      <c r="E8" s="59">
        <f t="shared" si="2"/>
        <v>182795</v>
      </c>
      <c r="F8" s="59">
        <f t="shared" si="2"/>
        <v>233715</v>
      </c>
      <c r="G8" s="59">
        <f t="shared" si="2"/>
        <v>215639</v>
      </c>
      <c r="H8" s="59">
        <f t="shared" si="2"/>
        <v>229234</v>
      </c>
      <c r="I8" s="59">
        <f t="shared" si="2"/>
        <v>265595</v>
      </c>
      <c r="J8" s="59">
        <f t="shared" si="2"/>
        <v>260174</v>
      </c>
      <c r="K8" s="59">
        <f>SUM(K2:K7)</f>
        <v>274515</v>
      </c>
      <c r="L8" s="59">
        <f t="shared" ref="L8" si="3">SUM(L2:L7)</f>
        <v>365817</v>
      </c>
      <c r="M8" s="59">
        <f>SUM(M2:M7)</f>
        <v>394328</v>
      </c>
      <c r="N8" s="59">
        <f>SUM(N2:N7)</f>
        <v>383285</v>
      </c>
      <c r="O8" s="59">
        <f>SUM(O2:O7)</f>
        <v>404294.49149652605</v>
      </c>
      <c r="P8" s="59">
        <f>SUM(P2:P7)</f>
        <v>445785.73554090946</v>
      </c>
      <c r="Q8" s="59">
        <f>SUM(Q2:Q7)</f>
        <v>488987.44717145542</v>
      </c>
      <c r="R8" s="59">
        <f t="shared" ref="R8:T8" si="4">SUM(R2:R7)</f>
        <v>537082.78633249993</v>
      </c>
      <c r="S8" s="59">
        <f t="shared" si="4"/>
        <v>590699.0341491088</v>
      </c>
      <c r="T8" s="59">
        <f t="shared" si="4"/>
        <v>650551.26662708353</v>
      </c>
    </row>
    <row r="9" spans="1:22" ht="16">
      <c r="A9" s="39"/>
      <c r="B9" s="40"/>
      <c r="C9" s="40"/>
      <c r="D9" s="40"/>
      <c r="E9" s="40"/>
      <c r="F9" s="40"/>
      <c r="G9" s="40"/>
      <c r="H9" s="40"/>
      <c r="I9" s="40"/>
      <c r="J9" s="40"/>
      <c r="K9" s="40"/>
      <c r="L9" s="37"/>
      <c r="M9" s="37"/>
      <c r="N9" s="37"/>
      <c r="O9" s="37"/>
      <c r="P9" s="37"/>
    </row>
    <row r="10" spans="1:22" ht="16">
      <c r="A10" s="37" t="s">
        <v>534</v>
      </c>
      <c r="B10" s="40"/>
      <c r="C10" s="40"/>
      <c r="D10" s="37"/>
      <c r="E10" s="40"/>
      <c r="F10" s="40"/>
      <c r="G10" s="40"/>
      <c r="H10" s="40"/>
      <c r="I10" s="40"/>
      <c r="J10" s="40"/>
      <c r="K10" s="40"/>
      <c r="L10" s="40"/>
      <c r="M10" s="40"/>
      <c r="N10" s="37"/>
      <c r="O10" s="37"/>
      <c r="P10" s="37"/>
    </row>
    <row r="11" spans="1:22" ht="16">
      <c r="A11" s="37" t="s">
        <v>532</v>
      </c>
      <c r="B11" s="40"/>
      <c r="C11" s="45">
        <f>C2/B2-1</f>
        <v>0.71077003347971646</v>
      </c>
      <c r="D11" s="45">
        <f t="shared" ref="D11:N11" si="5">D2/C2-1</f>
        <v>0.15995272708788688</v>
      </c>
      <c r="E11" s="45">
        <f t="shared" si="5"/>
        <v>0.11735448460215392</v>
      </c>
      <c r="F11" s="45">
        <f t="shared" si="5"/>
        <v>0.52014393426870997</v>
      </c>
      <c r="G11" s="45">
        <f t="shared" si="5"/>
        <v>-0.11829774059764842</v>
      </c>
      <c r="H11" s="45">
        <f t="shared" si="5"/>
        <v>1.929041697147027E-2</v>
      </c>
      <c r="I11" s="45">
        <f t="shared" si="5"/>
        <v>0.18337555710256437</v>
      </c>
      <c r="J11" s="45">
        <f t="shared" si="5"/>
        <v>-0.13649871427878313</v>
      </c>
      <c r="K11" s="45">
        <f t="shared" si="5"/>
        <v>-3.2307681502447672E-2</v>
      </c>
      <c r="L11" s="45">
        <f t="shared" si="5"/>
        <v>0.39331983364905176</v>
      </c>
      <c r="M11" s="45">
        <f t="shared" si="5"/>
        <v>7.0405734139696641E-2</v>
      </c>
      <c r="N11" s="45">
        <f t="shared" si="5"/>
        <v>-2.3874757286278081E-2</v>
      </c>
      <c r="O11" s="45">
        <f t="shared" ref="O11:O17" si="6">O2/N2-1</f>
        <v>5.9055641517916868E-2</v>
      </c>
      <c r="P11" s="45">
        <f t="shared" ref="P11:P15" si="7">P2/O2-1</f>
        <v>6.0296339270735633E-2</v>
      </c>
      <c r="Q11" s="45">
        <f>$Q22</f>
        <v>0.08</v>
      </c>
      <c r="R11" s="45">
        <f t="shared" ref="R11:T11" si="8">$Q22</f>
        <v>0.08</v>
      </c>
      <c r="S11" s="45">
        <f t="shared" si="8"/>
        <v>0.08</v>
      </c>
      <c r="T11" s="45">
        <f t="shared" si="8"/>
        <v>0.08</v>
      </c>
    </row>
    <row r="12" spans="1:22" ht="16">
      <c r="A12" s="37" t="s">
        <v>535</v>
      </c>
      <c r="B12" s="54"/>
      <c r="C12" s="45">
        <f t="shared" ref="C12:N17" si="9">C3/B3-1</f>
        <v>6.6014782169581787E-2</v>
      </c>
      <c r="D12" s="45">
        <f t="shared" si="9"/>
        <v>-7.4846044528659395E-2</v>
      </c>
      <c r="E12" s="45">
        <f t="shared" si="9"/>
        <v>0.12083973374295964</v>
      </c>
      <c r="F12" s="45">
        <f t="shared" si="9"/>
        <v>5.7809709705552548E-2</v>
      </c>
      <c r="G12" s="45">
        <f t="shared" si="9"/>
        <v>-0.10364728514781518</v>
      </c>
      <c r="H12" s="45">
        <f t="shared" si="9"/>
        <v>0.11992466383426037</v>
      </c>
      <c r="I12" s="45">
        <f t="shared" si="9"/>
        <v>-1.4509757909969112E-2</v>
      </c>
      <c r="J12" s="45">
        <f t="shared" si="9"/>
        <v>2.1509643622509733E-2</v>
      </c>
      <c r="K12" s="45">
        <f t="shared" si="9"/>
        <v>0.11196581196581201</v>
      </c>
      <c r="L12" s="45">
        <f t="shared" si="9"/>
        <v>0.22947383131856625</v>
      </c>
      <c r="M12" s="45">
        <f t="shared" si="9"/>
        <v>0.14171639670360903</v>
      </c>
      <c r="N12" s="45">
        <f>N3/M3-1</f>
        <v>-0.26930831072504169</v>
      </c>
      <c r="O12" s="45">
        <f t="shared" si="6"/>
        <v>2.2644695208775101E-2</v>
      </c>
      <c r="P12" s="45">
        <f t="shared" si="7"/>
        <v>8.71144840006286E-2</v>
      </c>
      <c r="Q12" s="45">
        <f t="shared" ref="Q12:T15" si="10">$Q23</f>
        <v>0.04</v>
      </c>
      <c r="R12" s="45">
        <f t="shared" si="10"/>
        <v>0.04</v>
      </c>
      <c r="S12" s="45">
        <f t="shared" si="10"/>
        <v>0.04</v>
      </c>
      <c r="T12" s="45">
        <f t="shared" si="10"/>
        <v>0.04</v>
      </c>
    </row>
    <row r="13" spans="1:22" ht="16">
      <c r="A13" s="37" t="s">
        <v>536</v>
      </c>
      <c r="B13" s="52"/>
      <c r="C13" s="45">
        <f t="shared" si="9"/>
        <v>0.61440943238731216</v>
      </c>
      <c r="D13" s="45">
        <f t="shared" si="9"/>
        <v>3.3446437227338865E-2</v>
      </c>
      <c r="E13" s="45">
        <f t="shared" si="9"/>
        <v>-5.3064415259537201E-2</v>
      </c>
      <c r="F13" s="45">
        <f t="shared" si="9"/>
        <v>-0.23300201433147305</v>
      </c>
      <c r="G13" s="45">
        <f t="shared" si="9"/>
        <v>-0.11189563869634478</v>
      </c>
      <c r="H13" s="45">
        <f t="shared" si="9"/>
        <v>-8.852045763040528E-2</v>
      </c>
      <c r="I13" s="45">
        <f t="shared" si="9"/>
        <v>-2.2444420806297161E-2</v>
      </c>
      <c r="J13" s="45">
        <f t="shared" si="9"/>
        <v>0.15778019586507064</v>
      </c>
      <c r="K13" s="45">
        <f t="shared" si="9"/>
        <v>0.11484962406015042</v>
      </c>
      <c r="L13" s="45">
        <f t="shared" si="9"/>
        <v>0.34302815714044854</v>
      </c>
      <c r="M13" s="45">
        <f t="shared" si="9"/>
        <v>-8.0660347749670458E-2</v>
      </c>
      <c r="N13" s="45">
        <f t="shared" si="9"/>
        <v>-3.3865901952751631E-2</v>
      </c>
      <c r="O13" s="45">
        <f t="shared" si="6"/>
        <v>-0.10231239151619664</v>
      </c>
      <c r="P13" s="45">
        <f t="shared" si="7"/>
        <v>8.460141899141238E-2</v>
      </c>
      <c r="Q13" s="45">
        <f t="shared" si="10"/>
        <v>0.04</v>
      </c>
      <c r="R13" s="45">
        <f t="shared" si="10"/>
        <v>0.04</v>
      </c>
      <c r="S13" s="45">
        <f t="shared" si="10"/>
        <v>0.04</v>
      </c>
      <c r="T13" s="45">
        <f t="shared" si="10"/>
        <v>0.04</v>
      </c>
    </row>
    <row r="14" spans="1:22" ht="16">
      <c r="A14" s="37" t="s">
        <v>537</v>
      </c>
      <c r="B14" s="48"/>
      <c r="C14" s="45" t="s">
        <v>609</v>
      </c>
      <c r="D14" s="45" t="s">
        <v>609</v>
      </c>
      <c r="E14" s="45" t="s">
        <v>609</v>
      </c>
      <c r="F14" s="45" t="s">
        <v>609</v>
      </c>
      <c r="G14" s="45" t="s">
        <v>609</v>
      </c>
      <c r="H14" s="45" t="s">
        <v>609</v>
      </c>
      <c r="I14" s="45">
        <f t="shared" si="9"/>
        <v>0.35513800093559955</v>
      </c>
      <c r="J14" s="45">
        <f t="shared" si="9"/>
        <v>0.40854956561762834</v>
      </c>
      <c r="K14" s="45">
        <f t="shared" si="9"/>
        <v>0.25071481088146386</v>
      </c>
      <c r="L14" s="45">
        <f t="shared" si="9"/>
        <v>0.2530045721750489</v>
      </c>
      <c r="M14" s="45">
        <f t="shared" si="9"/>
        <v>7.4908124169208001E-2</v>
      </c>
      <c r="N14" s="45">
        <f t="shared" si="9"/>
        <v>-3.3849809655439933E-2</v>
      </c>
      <c r="O14" s="45">
        <f t="shared" si="6"/>
        <v>-4.2348426444217546E-3</v>
      </c>
      <c r="P14" s="45">
        <f t="shared" si="7"/>
        <v>0.21068034683226022</v>
      </c>
      <c r="Q14" s="45">
        <f t="shared" si="10"/>
        <v>0.1</v>
      </c>
      <c r="R14" s="45">
        <f t="shared" si="10"/>
        <v>0.1</v>
      </c>
      <c r="S14" s="45">
        <f t="shared" si="10"/>
        <v>0.1</v>
      </c>
      <c r="T14" s="45">
        <f t="shared" si="10"/>
        <v>0.1</v>
      </c>
    </row>
    <row r="15" spans="1:22" ht="16">
      <c r="A15" s="28" t="s">
        <v>538</v>
      </c>
      <c r="B15" s="40"/>
      <c r="C15" s="45">
        <f t="shared" si="9"/>
        <v>0.37522671503254035</v>
      </c>
      <c r="D15" s="45">
        <f t="shared" si="9"/>
        <v>0.24522885958107055</v>
      </c>
      <c r="E15" s="45">
        <f t="shared" si="9"/>
        <v>0.12535044545511176</v>
      </c>
      <c r="F15" s="45">
        <f t="shared" si="9"/>
        <v>0.10219786303493339</v>
      </c>
      <c r="G15" s="45">
        <f t="shared" si="9"/>
        <v>0.22296448842232164</v>
      </c>
      <c r="H15" s="45">
        <f t="shared" si="9"/>
        <v>0.34302612124199117</v>
      </c>
      <c r="I15" s="45">
        <f t="shared" si="9"/>
        <v>0.21553516819571872</v>
      </c>
      <c r="J15" s="45">
        <f t="shared" si="9"/>
        <v>0.16461205595250084</v>
      </c>
      <c r="K15" s="45">
        <f t="shared" si="9"/>
        <v>0.16152167807997242</v>
      </c>
      <c r="L15" s="45">
        <f t="shared" si="9"/>
        <v>0.27259708376729663</v>
      </c>
      <c r="M15" s="45">
        <f t="shared" si="9"/>
        <v>0.14181951041286078</v>
      </c>
      <c r="N15" s="45">
        <f t="shared" si="9"/>
        <v>9.0504166186691215E-2</v>
      </c>
      <c r="O15" s="45">
        <f t="shared" si="6"/>
        <v>0.13571985236818174</v>
      </c>
      <c r="P15" s="45">
        <f t="shared" si="7"/>
        <v>0.16079414560585747</v>
      </c>
      <c r="Q15" s="45">
        <f t="shared" si="10"/>
        <v>0.16</v>
      </c>
      <c r="R15" s="45">
        <f t="shared" si="10"/>
        <v>0.16</v>
      </c>
      <c r="S15" s="45">
        <f t="shared" si="10"/>
        <v>0.16</v>
      </c>
      <c r="T15" s="45">
        <f t="shared" si="10"/>
        <v>0.16</v>
      </c>
    </row>
    <row r="16" spans="1:22" ht="16">
      <c r="A16" s="28" t="s">
        <v>539</v>
      </c>
      <c r="B16" s="40"/>
      <c r="C16" s="45">
        <f t="shared" si="9"/>
        <v>-9.7845225119476797E-2</v>
      </c>
      <c r="D16" s="45">
        <f t="shared" si="9"/>
        <v>-5.9758364312267664E-2</v>
      </c>
      <c r="E16" s="45">
        <f t="shared" si="9"/>
        <v>-0.17179005634081246</v>
      </c>
      <c r="F16" s="45">
        <f t="shared" si="9"/>
        <v>0.20145602100489324</v>
      </c>
      <c r="G16" s="45">
        <f t="shared" si="9"/>
        <v>0.10579119896692157</v>
      </c>
      <c r="H16" s="45" t="s">
        <v>609</v>
      </c>
      <c r="I16" s="45" t="s">
        <v>609</v>
      </c>
      <c r="J16" s="45" t="s">
        <v>609</v>
      </c>
      <c r="K16" s="45" t="s">
        <v>609</v>
      </c>
      <c r="L16" s="45" t="s">
        <v>609</v>
      </c>
      <c r="M16" s="45" t="s">
        <v>609</v>
      </c>
      <c r="N16" s="45" t="s">
        <v>609</v>
      </c>
      <c r="O16" s="45" t="s">
        <v>609</v>
      </c>
      <c r="P16" s="45" t="s">
        <v>609</v>
      </c>
      <c r="V16" s="29" t="s">
        <v>660</v>
      </c>
    </row>
    <row r="17" spans="1:22" ht="16">
      <c r="A17" s="37" t="s">
        <v>542</v>
      </c>
      <c r="B17" s="40"/>
      <c r="C17" s="45">
        <f t="shared" si="9"/>
        <v>0.44581474193756976</v>
      </c>
      <c r="D17" s="45">
        <f t="shared" si="9"/>
        <v>9.2020855163953197E-2</v>
      </c>
      <c r="E17" s="45">
        <f t="shared" si="9"/>
        <v>6.9539523725937524E-2</v>
      </c>
      <c r="F17" s="45">
        <f t="shared" si="9"/>
        <v>0.27856341803659834</v>
      </c>
      <c r="G17" s="45">
        <f t="shared" si="9"/>
        <v>-7.7342061913013738E-2</v>
      </c>
      <c r="H17" s="45">
        <f t="shared" si="9"/>
        <v>6.304518199398057E-2</v>
      </c>
      <c r="I17" s="45">
        <f t="shared" si="9"/>
        <v>0.15861957650261305</v>
      </c>
      <c r="J17" s="45">
        <f t="shared" si="9"/>
        <v>-2.04107758052674E-2</v>
      </c>
      <c r="K17" s="45">
        <f t="shared" si="9"/>
        <v>5.5120803769784787E-2</v>
      </c>
      <c r="L17" s="45">
        <f t="shared" si="9"/>
        <v>0.33259384733074704</v>
      </c>
      <c r="M17" s="45">
        <f t="shared" si="9"/>
        <v>7.7937876041846099E-2</v>
      </c>
      <c r="N17" s="45">
        <f t="shared" si="9"/>
        <v>-2.800460530319937E-2</v>
      </c>
      <c r="O17" s="45">
        <f t="shared" si="6"/>
        <v>5.4814280487172962E-2</v>
      </c>
      <c r="P17" s="45">
        <f>P8/O8-1</f>
        <v>0.10262629077829</v>
      </c>
      <c r="Q17" s="45">
        <f t="shared" ref="Q17" si="11">Q8/P8-1</f>
        <v>9.6911381828145959E-2</v>
      </c>
      <c r="R17" s="45">
        <f>R8/Q8-1</f>
        <v>9.8357001676120159E-2</v>
      </c>
      <c r="S17" s="45">
        <f t="shared" ref="S17" si="12">S8/R8-1</f>
        <v>9.9828646869750681E-2</v>
      </c>
      <c r="T17" s="45">
        <f t="shared" ref="T17" si="13">T8/S8-1</f>
        <v>0.10132441229430955</v>
      </c>
      <c r="V17" s="35">
        <v>0.05</v>
      </c>
    </row>
    <row r="19" spans="1:22" ht="16">
      <c r="O19" s="29" t="s">
        <v>610</v>
      </c>
      <c r="P19" s="29" t="s">
        <v>610</v>
      </c>
      <c r="Q19" s="29"/>
    </row>
    <row r="20" spans="1:22" ht="16">
      <c r="O20" s="29"/>
      <c r="P20" s="29"/>
      <c r="Q20" s="29"/>
    </row>
    <row r="21" spans="1:22" ht="16">
      <c r="O21" s="29"/>
      <c r="P21" s="29" t="s">
        <v>608</v>
      </c>
      <c r="Q21" s="29" t="s">
        <v>611</v>
      </c>
    </row>
    <row r="22" spans="1:22" ht="16">
      <c r="O22" s="37" t="s">
        <v>532</v>
      </c>
      <c r="P22" s="35">
        <f>AVERAGE(L11:P11)</f>
        <v>0.11184055825822456</v>
      </c>
      <c r="Q22" s="35">
        <v>0.08</v>
      </c>
    </row>
    <row r="23" spans="1:22" ht="16">
      <c r="O23" s="37" t="s">
        <v>535</v>
      </c>
      <c r="P23" s="35">
        <f>AVERAGE(L12:P12)</f>
        <v>4.2328219301307458E-2</v>
      </c>
      <c r="Q23" s="35">
        <v>0.04</v>
      </c>
    </row>
    <row r="24" spans="1:22" ht="16">
      <c r="O24" s="37" t="s">
        <v>536</v>
      </c>
      <c r="P24" s="35">
        <f>AVERAGE(L13:P13)</f>
        <v>4.2158186982648435E-2</v>
      </c>
      <c r="Q24" s="35">
        <v>0.04</v>
      </c>
    </row>
    <row r="25" spans="1:22" ht="16">
      <c r="O25" s="37" t="s">
        <v>537</v>
      </c>
      <c r="P25" s="35">
        <f>AVERAGE(L14:P14)</f>
        <v>0.10010167817533108</v>
      </c>
      <c r="Q25" s="35">
        <v>0.1</v>
      </c>
    </row>
    <row r="26" spans="1:22" ht="16">
      <c r="O26" s="28" t="s">
        <v>538</v>
      </c>
      <c r="P26" s="35">
        <f>AVERAGE(L15:P15)</f>
        <v>0.16028695166817758</v>
      </c>
      <c r="Q26" s="35">
        <v>0.16</v>
      </c>
    </row>
  </sheetData>
  <phoneticPr fontId="20" type="noConversion"/>
  <conditionalFormatting sqref="B13">
    <cfRule type="cellIs" dxfId="3" priority="4" operator="lessThan">
      <formula>0</formula>
    </cfRule>
  </conditionalFormatting>
  <conditionalFormatting sqref="B6:K6 B7:M7">
    <cfRule type="cellIs" dxfId="2" priority="5" operator="lessThan">
      <formula>0</formula>
    </cfRule>
  </conditionalFormatting>
  <conditionalFormatting sqref="C11:P17 Q17:T17">
    <cfRule type="cellIs" dxfId="1" priority="3" operator="lessThan">
      <formula>0</formula>
    </cfRule>
  </conditionalFormatting>
  <conditionalFormatting sqref="Q11:T15">
    <cfRule type="cellIs" dxfId="0" priority="1"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2C630-1343-8743-83B0-D49E10C5D3B7}">
  <dimension ref="A1:T43"/>
  <sheetViews>
    <sheetView tabSelected="1" workbookViewId="0">
      <selection activeCell="B32" sqref="B32"/>
    </sheetView>
  </sheetViews>
  <sheetFormatPr baseColWidth="10" defaultRowHeight="16"/>
  <cols>
    <col min="1" max="1" width="25.6640625" style="29" customWidth="1"/>
    <col min="2" max="2" width="11.33203125" style="29" bestFit="1" customWidth="1"/>
    <col min="3" max="3" width="15.5" style="29" bestFit="1" customWidth="1"/>
    <col min="4" max="5" width="10.83203125" style="29"/>
    <col min="6" max="7" width="11.6640625" style="29" bestFit="1" customWidth="1"/>
    <col min="8" max="8" width="12.1640625" style="29" customWidth="1"/>
    <col min="9" max="12" width="11.6640625" style="29" bestFit="1" customWidth="1"/>
    <col min="13" max="13" width="30.33203125" style="29" bestFit="1" customWidth="1"/>
    <col min="14" max="16384" width="10.83203125" style="29"/>
  </cols>
  <sheetData>
    <row r="1" spans="1:20">
      <c r="B1" s="29" t="s">
        <v>638</v>
      </c>
      <c r="C1" s="37" t="s">
        <v>615</v>
      </c>
      <c r="D1" s="37" t="s">
        <v>616</v>
      </c>
      <c r="E1" s="37" t="s">
        <v>617</v>
      </c>
      <c r="F1" s="37" t="s">
        <v>618</v>
      </c>
      <c r="G1" s="37" t="s">
        <v>619</v>
      </c>
      <c r="H1" s="37" t="s">
        <v>620</v>
      </c>
      <c r="J1" s="29" t="s">
        <v>631</v>
      </c>
      <c r="M1" s="29" t="s">
        <v>639</v>
      </c>
      <c r="N1" s="57" t="s">
        <v>516</v>
      </c>
      <c r="O1" s="57" t="s">
        <v>517</v>
      </c>
      <c r="P1" s="57" t="s">
        <v>507</v>
      </c>
      <c r="Q1" s="57" t="s">
        <v>543</v>
      </c>
      <c r="R1" s="37" t="s">
        <v>544</v>
      </c>
    </row>
    <row r="2" spans="1:20">
      <c r="A2" s="29" t="s">
        <v>629</v>
      </c>
      <c r="C2" s="58">
        <f>SUM(Segment_A!O2:O5)</f>
        <v>307531.16007475695</v>
      </c>
      <c r="D2" s="58">
        <f>SUM(Segment_A!P2:P5)</f>
        <v>333463.42691720062</v>
      </c>
      <c r="E2" s="58">
        <f>SUM(Segment_A!Q2:Q5)</f>
        <v>358693.56916795316</v>
      </c>
      <c r="F2" s="58">
        <f>SUM(Segment_A!R2:R5)</f>
        <v>385941.8878484373</v>
      </c>
      <c r="G2" s="58">
        <f>SUM(Segment_A!S2:S5)</f>
        <v>415375.59190759622</v>
      </c>
      <c r="H2" s="58">
        <f>SUM(Segment_A!T2:T5)</f>
        <v>447176.07362692885</v>
      </c>
      <c r="J2" s="35">
        <f>IS!P33</f>
        <v>0.36</v>
      </c>
      <c r="M2" s="29" t="s">
        <v>640</v>
      </c>
      <c r="N2" s="58">
        <f>IS!H23</f>
        <v>260174</v>
      </c>
      <c r="O2" s="58">
        <f>IS!I23</f>
        <v>274515</v>
      </c>
      <c r="P2" s="58">
        <f>IS!J23</f>
        <v>365817</v>
      </c>
      <c r="Q2" s="58">
        <f>IS!K23</f>
        <v>394328</v>
      </c>
      <c r="R2" s="58">
        <f>IS!L23</f>
        <v>383285</v>
      </c>
    </row>
    <row r="3" spans="1:20">
      <c r="A3" s="29" t="s">
        <v>630</v>
      </c>
      <c r="C3" s="58">
        <f>Segment_A!O6</f>
        <v>96763.331421769079</v>
      </c>
      <c r="D3" s="58">
        <f>Segment_A!P6</f>
        <v>112322.30862370886</v>
      </c>
      <c r="E3" s="58">
        <f>Segment_A!Q6</f>
        <v>130293.87800350226</v>
      </c>
      <c r="F3" s="58">
        <f>Segment_A!R6</f>
        <v>151140.89848406261</v>
      </c>
      <c r="G3" s="58">
        <f>Segment_A!S6</f>
        <v>175323.44224151262</v>
      </c>
      <c r="H3" s="58">
        <f>Segment_A!T6</f>
        <v>203375.19300015463</v>
      </c>
      <c r="J3" s="35">
        <f>IS!P34</f>
        <v>0.71</v>
      </c>
      <c r="M3" s="29" t="s">
        <v>641</v>
      </c>
      <c r="N3" s="58">
        <f>CF!H19</f>
        <v>12547</v>
      </c>
      <c r="O3" s="58">
        <f>CF!I19</f>
        <v>11056</v>
      </c>
      <c r="P3" s="58">
        <f>CF!J19</f>
        <v>11284</v>
      </c>
      <c r="Q3" s="58">
        <f>CF!K19</f>
        <v>11104</v>
      </c>
      <c r="R3" s="58">
        <f>CF!L19</f>
        <v>11519</v>
      </c>
      <c r="T3" s="29" t="s">
        <v>608</v>
      </c>
    </row>
    <row r="4" spans="1:20">
      <c r="A4" s="36" t="s">
        <v>637</v>
      </c>
      <c r="B4" s="36"/>
      <c r="C4" s="59">
        <f t="shared" ref="C4:H4" si="0">SUM(C2:C3)</f>
        <v>404294.49149652605</v>
      </c>
      <c r="D4" s="59">
        <f t="shared" si="0"/>
        <v>445785.73554090946</v>
      </c>
      <c r="E4" s="59">
        <f t="shared" si="0"/>
        <v>488987.44717145542</v>
      </c>
      <c r="F4" s="59">
        <f t="shared" si="0"/>
        <v>537082.78633249993</v>
      </c>
      <c r="G4" s="59">
        <f t="shared" si="0"/>
        <v>590699.0341491088</v>
      </c>
      <c r="H4" s="59">
        <f t="shared" si="0"/>
        <v>650551.26662708353</v>
      </c>
      <c r="J4" s="35"/>
      <c r="M4" s="29" t="s">
        <v>642</v>
      </c>
      <c r="N4" s="34">
        <f>N3/N2</f>
        <v>4.8225418373857493E-2</v>
      </c>
      <c r="O4" s="34">
        <f t="shared" ref="O4:R4" si="1">O3/O2</f>
        <v>4.0274666229532081E-2</v>
      </c>
      <c r="P4" s="34">
        <f t="shared" si="1"/>
        <v>3.084602410494865E-2</v>
      </c>
      <c r="Q4" s="34">
        <f t="shared" si="1"/>
        <v>2.8159298857803657E-2</v>
      </c>
      <c r="R4" s="34">
        <f t="shared" si="1"/>
        <v>3.0053354553400212E-2</v>
      </c>
      <c r="T4" s="112">
        <f>AVERAGE(N4:R4)</f>
        <v>3.5511752423908416E-2</v>
      </c>
    </row>
    <row r="5" spans="1:20">
      <c r="A5" s="36" t="s">
        <v>635</v>
      </c>
      <c r="B5" s="36"/>
      <c r="C5" s="59">
        <f t="shared" ref="C5:H5" si="2">C2*$J$2+C3*$J$3</f>
        <v>179413.18293636854</v>
      </c>
      <c r="D5" s="59">
        <f t="shared" si="2"/>
        <v>199795.67281302551</v>
      </c>
      <c r="E5" s="59">
        <f t="shared" si="2"/>
        <v>221638.33828294976</v>
      </c>
      <c r="F5" s="59">
        <f t="shared" si="2"/>
        <v>246249.11754912185</v>
      </c>
      <c r="G5" s="59">
        <f t="shared" si="2"/>
        <v>274014.85707820859</v>
      </c>
      <c r="H5" s="59">
        <f t="shared" si="2"/>
        <v>305379.77353580418</v>
      </c>
      <c r="J5" s="29" t="s">
        <v>633</v>
      </c>
    </row>
    <row r="6" spans="1:20">
      <c r="A6" s="29" t="s">
        <v>636</v>
      </c>
      <c r="C6" s="58">
        <f t="shared" ref="C6:H6" si="3">C4*$J$6</f>
        <v>53899.951230888786</v>
      </c>
      <c r="D6" s="58">
        <f t="shared" si="3"/>
        <v>59431.50329884563</v>
      </c>
      <c r="E6" s="58">
        <f t="shared" si="3"/>
        <v>65191.092407660777</v>
      </c>
      <c r="F6" s="58">
        <f t="shared" si="3"/>
        <v>71603.092792869167</v>
      </c>
      <c r="G6" s="58">
        <f t="shared" si="3"/>
        <v>78751.132658070492</v>
      </c>
      <c r="H6" s="58">
        <f t="shared" si="3"/>
        <v>86730.544892160688</v>
      </c>
      <c r="J6" s="35">
        <f>IS!P53</f>
        <v>0.13331853973912461</v>
      </c>
      <c r="M6" s="29" t="s">
        <v>646</v>
      </c>
      <c r="N6" s="57" t="s">
        <v>516</v>
      </c>
      <c r="O6" s="57" t="s">
        <v>517</v>
      </c>
      <c r="P6" s="57" t="s">
        <v>507</v>
      </c>
      <c r="Q6" s="57" t="s">
        <v>543</v>
      </c>
      <c r="R6" s="37" t="s">
        <v>544</v>
      </c>
    </row>
    <row r="7" spans="1:20">
      <c r="A7" s="36" t="s">
        <v>634</v>
      </c>
      <c r="B7" s="36"/>
      <c r="C7" s="120">
        <f t="shared" ref="C7:H7" si="4">C5-C6</f>
        <v>125513.23170547976</v>
      </c>
      <c r="D7" s="120">
        <f t="shared" si="4"/>
        <v>140364.16951417987</v>
      </c>
      <c r="E7" s="120">
        <f t="shared" si="4"/>
        <v>156447.24587528897</v>
      </c>
      <c r="F7" s="120">
        <f t="shared" si="4"/>
        <v>174646.02475625268</v>
      </c>
      <c r="G7" s="120">
        <f t="shared" si="4"/>
        <v>195263.72442013811</v>
      </c>
      <c r="H7" s="120">
        <f t="shared" si="4"/>
        <v>218649.2286436435</v>
      </c>
      <c r="J7" s="34"/>
      <c r="K7" s="34"/>
      <c r="M7" s="29" t="s">
        <v>640</v>
      </c>
      <c r="N7" s="58">
        <f>IS!H23</f>
        <v>260174</v>
      </c>
      <c r="O7" s="58">
        <f>IS!I23</f>
        <v>274515</v>
      </c>
      <c r="P7" s="58">
        <f>IS!J23</f>
        <v>365817</v>
      </c>
      <c r="Q7" s="58">
        <f>IS!K23</f>
        <v>394328</v>
      </c>
      <c r="R7" s="58">
        <f>IS!L23</f>
        <v>383285</v>
      </c>
    </row>
    <row r="8" spans="1:20">
      <c r="A8" s="29" t="s">
        <v>643</v>
      </c>
      <c r="C8" s="58">
        <f t="shared" ref="C8:H8" si="5">C4*$T$4</f>
        <v>14357.205888374579</v>
      </c>
      <c r="D8" s="58">
        <f t="shared" si="5"/>
        <v>15830.632674638688</v>
      </c>
      <c r="E8" s="58">
        <f t="shared" si="5"/>
        <v>17364.80116235172</v>
      </c>
      <c r="F8" s="58">
        <f t="shared" si="5"/>
        <v>19072.75093938264</v>
      </c>
      <c r="G8" s="58">
        <f t="shared" si="5"/>
        <v>20976.757857744975</v>
      </c>
      <c r="H8" s="58">
        <f t="shared" si="5"/>
        <v>23102.215519521025</v>
      </c>
      <c r="M8" s="29" t="s">
        <v>647</v>
      </c>
      <c r="N8" s="58">
        <f>CF!H48</f>
        <v>-10495</v>
      </c>
      <c r="O8" s="58">
        <f>CF!I48</f>
        <v>-7309</v>
      </c>
      <c r="P8" s="58">
        <f>CF!J48</f>
        <v>-11085</v>
      </c>
      <c r="Q8" s="58">
        <f>CF!K48</f>
        <v>-10708</v>
      </c>
      <c r="R8" s="58">
        <f>CF!L48</f>
        <v>-10959</v>
      </c>
      <c r="T8" s="29" t="s">
        <v>608</v>
      </c>
    </row>
    <row r="9" spans="1:20">
      <c r="A9" s="29" t="s">
        <v>644</v>
      </c>
      <c r="C9" s="119">
        <f t="shared" ref="C9:H9" si="6">C7-C8</f>
        <v>111156.02581710518</v>
      </c>
      <c r="D9" s="119">
        <f t="shared" si="6"/>
        <v>124533.53683954118</v>
      </c>
      <c r="E9" s="119">
        <f t="shared" si="6"/>
        <v>139082.44471293726</v>
      </c>
      <c r="F9" s="119">
        <f t="shared" si="6"/>
        <v>155573.27381687003</v>
      </c>
      <c r="G9" s="119">
        <f t="shared" si="6"/>
        <v>174286.96656239312</v>
      </c>
      <c r="H9" s="119">
        <f t="shared" si="6"/>
        <v>195547.01312412246</v>
      </c>
      <c r="J9" s="29" t="s">
        <v>599</v>
      </c>
      <c r="M9" s="29" t="s">
        <v>648</v>
      </c>
      <c r="N9" s="34">
        <f>-N8/N7</f>
        <v>4.033838892433525E-2</v>
      </c>
      <c r="O9" s="34">
        <f t="shared" ref="O9:R9" si="7">-O8/O7</f>
        <v>2.6625138881299748E-2</v>
      </c>
      <c r="P9" s="34">
        <f t="shared" si="7"/>
        <v>3.0302036264033657E-2</v>
      </c>
      <c r="Q9" s="34">
        <f t="shared" si="7"/>
        <v>2.7155058732831552E-2</v>
      </c>
      <c r="R9" s="34">
        <f t="shared" si="7"/>
        <v>2.859230076835775E-2</v>
      </c>
      <c r="T9" s="112">
        <f>AVERAGE(N9:R9)</f>
        <v>3.0602584714171592E-2</v>
      </c>
    </row>
    <row r="10" spans="1:20">
      <c r="A10" s="29" t="s">
        <v>645</v>
      </c>
      <c r="C10" s="119">
        <f t="shared" ref="C10:H10" si="8">C9*$J$10</f>
        <v>16584.011816953705</v>
      </c>
      <c r="D10" s="119">
        <f t="shared" si="8"/>
        <v>18579.880230264385</v>
      </c>
      <c r="E10" s="119">
        <f t="shared" si="8"/>
        <v>20750.51612987067</v>
      </c>
      <c r="F10" s="119">
        <f t="shared" si="8"/>
        <v>23210.878514371288</v>
      </c>
      <c r="G10" s="119">
        <f t="shared" si="8"/>
        <v>26002.882810577765</v>
      </c>
      <c r="H10" s="119">
        <f t="shared" si="8"/>
        <v>29174.792392779193</v>
      </c>
      <c r="J10" s="35">
        <f>IS!O84</f>
        <v>0.14919579658453103</v>
      </c>
    </row>
    <row r="11" spans="1:20">
      <c r="M11" s="29" t="s">
        <v>650</v>
      </c>
      <c r="N11" s="57" t="s">
        <v>516</v>
      </c>
      <c r="O11" s="57" t="s">
        <v>517</v>
      </c>
      <c r="P11" s="57" t="s">
        <v>507</v>
      </c>
      <c r="Q11" s="57" t="s">
        <v>543</v>
      </c>
      <c r="R11" s="37" t="s">
        <v>544</v>
      </c>
    </row>
    <row r="12" spans="1:20">
      <c r="A12" s="29" t="s">
        <v>655</v>
      </c>
      <c r="B12" s="119">
        <f>R13</f>
        <v>-51900</v>
      </c>
      <c r="C12" s="119">
        <f t="shared" ref="C12:H12" si="9">C4*$T$14</f>
        <v>-54158.201932511882</v>
      </c>
      <c r="D12" s="119">
        <f t="shared" si="9"/>
        <v>-59716.257312067195</v>
      </c>
      <c r="E12" s="119">
        <f t="shared" si="9"/>
        <v>-65503.442325784752</v>
      </c>
      <c r="F12" s="119">
        <f t="shared" si="9"/>
        <v>-71946.164512413598</v>
      </c>
      <c r="G12" s="119">
        <f t="shared" si="9"/>
        <v>-79128.452763156311</v>
      </c>
      <c r="H12" s="119">
        <f t="shared" si="9"/>
        <v>-87146.096735141167</v>
      </c>
      <c r="M12" s="29" t="s">
        <v>640</v>
      </c>
      <c r="N12" s="58">
        <f>IS!H23</f>
        <v>260174</v>
      </c>
      <c r="O12" s="58">
        <f>IS!I23</f>
        <v>274515</v>
      </c>
      <c r="P12" s="58">
        <f>IS!J23</f>
        <v>365817</v>
      </c>
      <c r="Q12" s="58">
        <f>IS!K23</f>
        <v>394328</v>
      </c>
      <c r="R12" s="58">
        <f>IS!L23</f>
        <v>383285</v>
      </c>
    </row>
    <row r="13" spans="1:20">
      <c r="A13" s="29" t="s">
        <v>656</v>
      </c>
      <c r="C13" s="119">
        <f t="shared" ref="C13:H13" si="10">C12-B12</f>
        <v>-2258.2019325118818</v>
      </c>
      <c r="D13" s="119">
        <f t="shared" si="10"/>
        <v>-5558.0553795553133</v>
      </c>
      <c r="E13" s="119">
        <f t="shared" si="10"/>
        <v>-5787.185013717557</v>
      </c>
      <c r="F13" s="119">
        <f t="shared" si="10"/>
        <v>-6442.7221866288455</v>
      </c>
      <c r="G13" s="119">
        <f t="shared" si="10"/>
        <v>-7182.288250742713</v>
      </c>
      <c r="H13" s="119">
        <f t="shared" si="10"/>
        <v>-8017.6439719848568</v>
      </c>
      <c r="M13" s="29" t="s">
        <v>651</v>
      </c>
      <c r="N13" s="58">
        <f>BS!H135</f>
        <v>-33196</v>
      </c>
      <c r="O13" s="58">
        <f>BS!I135</f>
        <v>-42389</v>
      </c>
      <c r="P13" s="58">
        <f>BS!J135</f>
        <v>-42143</v>
      </c>
      <c r="Q13" s="58">
        <f>BS!K135</f>
        <v>-54090</v>
      </c>
      <c r="R13" s="58">
        <f>BS!L135</f>
        <v>-51900</v>
      </c>
      <c r="T13" s="29" t="s">
        <v>608</v>
      </c>
    </row>
    <row r="14" spans="1:20">
      <c r="M14" s="29" t="s">
        <v>652</v>
      </c>
      <c r="N14" s="34">
        <f>N13/N12</f>
        <v>-0.12759153489587738</v>
      </c>
      <c r="O14" s="34">
        <f t="shared" ref="O14:R14" si="11">O13/O12</f>
        <v>-0.15441414858933028</v>
      </c>
      <c r="P14" s="34">
        <f t="shared" si="11"/>
        <v>-0.11520240994814347</v>
      </c>
      <c r="Q14" s="34">
        <f t="shared" si="11"/>
        <v>-0.1371700716155079</v>
      </c>
      <c r="R14" s="34">
        <f t="shared" si="11"/>
        <v>-0.13540837757804244</v>
      </c>
      <c r="T14" s="112">
        <f>AVERAGE(N14:R14)</f>
        <v>-0.13395730852538029</v>
      </c>
    </row>
    <row r="16" spans="1:20">
      <c r="A16" s="29" t="s">
        <v>653</v>
      </c>
    </row>
    <row r="17" spans="1:11">
      <c r="A17" s="29" t="s">
        <v>654</v>
      </c>
      <c r="C17" s="119">
        <f t="shared" ref="C17:H17" si="12">C4*$T$9</f>
        <v>12372.456425495366</v>
      </c>
      <c r="D17" s="119">
        <f t="shared" si="12"/>
        <v>13642.195736259975</v>
      </c>
      <c r="E17" s="119">
        <f t="shared" si="12"/>
        <v>14964.279776230971</v>
      </c>
      <c r="F17" s="119">
        <f t="shared" si="12"/>
        <v>16436.121467263649</v>
      </c>
      <c r="G17" s="119">
        <f t="shared" si="12"/>
        <v>18076.917233127439</v>
      </c>
      <c r="H17" s="119">
        <f t="shared" si="12"/>
        <v>19908.550247866955</v>
      </c>
    </row>
    <row r="18" spans="1:11">
      <c r="A18" s="29" t="s">
        <v>657</v>
      </c>
      <c r="C18" s="119">
        <f t="shared" ref="C18:H18" si="13">C13</f>
        <v>-2258.2019325118818</v>
      </c>
      <c r="D18" s="119">
        <f t="shared" si="13"/>
        <v>-5558.0553795553133</v>
      </c>
      <c r="E18" s="119">
        <f t="shared" si="13"/>
        <v>-5787.185013717557</v>
      </c>
      <c r="F18" s="119">
        <f t="shared" si="13"/>
        <v>-6442.7221866288455</v>
      </c>
      <c r="G18" s="119">
        <f t="shared" si="13"/>
        <v>-7182.288250742713</v>
      </c>
      <c r="H18" s="119">
        <f t="shared" si="13"/>
        <v>-8017.6439719848568</v>
      </c>
    </row>
    <row r="20" spans="1:11">
      <c r="B20" s="29" t="s">
        <v>638</v>
      </c>
      <c r="C20" s="37" t="s">
        <v>615</v>
      </c>
      <c r="D20" s="37" t="s">
        <v>616</v>
      </c>
      <c r="E20" s="37" t="s">
        <v>617</v>
      </c>
      <c r="F20" s="37" t="s">
        <v>618</v>
      </c>
      <c r="G20" s="37" t="s">
        <v>619</v>
      </c>
      <c r="H20" s="37" t="s">
        <v>620</v>
      </c>
    </row>
    <row r="21" spans="1:11">
      <c r="A21" s="29" t="s">
        <v>662</v>
      </c>
      <c r="B21" s="29">
        <v>0</v>
      </c>
      <c r="C21" s="29">
        <v>1</v>
      </c>
      <c r="D21" s="29">
        <f>C21+1</f>
        <v>2</v>
      </c>
      <c r="E21" s="29">
        <f t="shared" ref="E21:H21" si="14">D21+1</f>
        <v>3</v>
      </c>
      <c r="F21" s="29">
        <f t="shared" si="14"/>
        <v>4</v>
      </c>
      <c r="G21" s="29">
        <f t="shared" si="14"/>
        <v>5</v>
      </c>
      <c r="H21" s="29">
        <f t="shared" si="14"/>
        <v>6</v>
      </c>
    </row>
    <row r="22" spans="1:11">
      <c r="A22" s="29" t="s">
        <v>658</v>
      </c>
      <c r="C22" s="119">
        <f t="shared" ref="C22:H22" si="15">C7-C10-C17-C18</f>
        <v>98814.96539554256</v>
      </c>
      <c r="D22" s="119">
        <f t="shared" si="15"/>
        <v>113700.14892721082</v>
      </c>
      <c r="E22" s="119">
        <f t="shared" si="15"/>
        <v>126519.63498290488</v>
      </c>
      <c r="F22" s="119">
        <f t="shared" si="15"/>
        <v>141441.74696124659</v>
      </c>
      <c r="G22" s="119">
        <f t="shared" si="15"/>
        <v>158366.21262717564</v>
      </c>
      <c r="H22" s="119">
        <f t="shared" si="15"/>
        <v>177583.5299749822</v>
      </c>
      <c r="I22" s="119"/>
      <c r="J22" s="29" t="s">
        <v>601</v>
      </c>
      <c r="K22" s="29" t="s">
        <v>661</v>
      </c>
    </row>
    <row r="23" spans="1:11">
      <c r="A23" s="29" t="s">
        <v>659</v>
      </c>
      <c r="H23" s="119">
        <f>H22*(1+K23)/(J23-K23)</f>
        <v>2864354.7528600837</v>
      </c>
      <c r="J23" s="35">
        <f>WACC!B17</f>
        <v>0.11509763020364243</v>
      </c>
      <c r="K23" s="94">
        <f>Segment_A!V17</f>
        <v>0.05</v>
      </c>
    </row>
    <row r="24" spans="1:11">
      <c r="A24" s="29" t="s">
        <v>663</v>
      </c>
      <c r="C24" s="119">
        <f>C22/(1+$J$23)^C21</f>
        <v>88615.528110750878</v>
      </c>
      <c r="D24" s="119">
        <f t="shared" ref="D24:G24" si="16">D22/(1+$J$23)^D21</f>
        <v>91439.79586004265</v>
      </c>
      <c r="E24" s="119">
        <f t="shared" si="16"/>
        <v>91247.138035837968</v>
      </c>
      <c r="F24" s="119">
        <f t="shared" si="16"/>
        <v>91479.975640082092</v>
      </c>
      <c r="G24" s="119">
        <f t="shared" si="16"/>
        <v>91853.998487191624</v>
      </c>
      <c r="H24" s="119">
        <f>(H22+H23)/(1+J23)^H21</f>
        <v>1582242.4840279701</v>
      </c>
    </row>
    <row r="26" spans="1:11">
      <c r="A26" s="29" t="s">
        <v>690</v>
      </c>
      <c r="B26" s="119">
        <f>SUM(C24:H24)</f>
        <v>2036878.9201618754</v>
      </c>
      <c r="C26" s="133"/>
    </row>
    <row r="27" spans="1:11">
      <c r="A27" s="29" t="s">
        <v>689</v>
      </c>
      <c r="B27" s="119">
        <f>B26*((1+J23)^(167/366))</f>
        <v>2140687.8143557175</v>
      </c>
      <c r="C27" s="133"/>
    </row>
    <row r="28" spans="1:11">
      <c r="A28" s="29" t="s">
        <v>666</v>
      </c>
      <c r="B28" s="119">
        <f>BS!Q18</f>
        <v>106042</v>
      </c>
    </row>
    <row r="29" spans="1:11">
      <c r="A29" s="29" t="s">
        <v>664</v>
      </c>
      <c r="B29" s="119">
        <f>BS!M26</f>
        <v>73100</v>
      </c>
    </row>
    <row r="30" spans="1:11">
      <c r="A30" s="29" t="s">
        <v>667</v>
      </c>
      <c r="B30" s="119">
        <f>B27-B28+B29</f>
        <v>2107745.8143557175</v>
      </c>
    </row>
    <row r="31" spans="1:11">
      <c r="A31" s="29" t="s">
        <v>668</v>
      </c>
      <c r="B31" s="115">
        <f>BS!O181</f>
        <v>15510.252943874761</v>
      </c>
      <c r="C31" s="29" t="s">
        <v>674</v>
      </c>
    </row>
    <row r="32" spans="1:11">
      <c r="A32" s="123" t="s">
        <v>672</v>
      </c>
      <c r="B32" s="124">
        <f>B30/B31</f>
        <v>135.89370992096548</v>
      </c>
    </row>
    <row r="33" spans="1:9">
      <c r="A33" s="123"/>
      <c r="B33" s="124"/>
    </row>
    <row r="34" spans="1:9">
      <c r="A34" s="29" t="s">
        <v>693</v>
      </c>
    </row>
    <row r="35" spans="1:9" ht="17" customHeight="1">
      <c r="A35" s="143"/>
      <c r="B35" s="144"/>
      <c r="C35" s="167" t="s">
        <v>692</v>
      </c>
      <c r="D35" s="168"/>
      <c r="E35" s="168"/>
      <c r="F35" s="168"/>
      <c r="G35" s="168"/>
      <c r="H35" s="168"/>
      <c r="I35" s="169"/>
    </row>
    <row r="36" spans="1:9">
      <c r="A36" s="145"/>
      <c r="B36" s="148">
        <f>B32</f>
        <v>135.89370992096548</v>
      </c>
      <c r="C36" s="147">
        <f>D36-0.3%</f>
        <v>4.0999999999999995E-2</v>
      </c>
      <c r="D36" s="147">
        <f>E36-0.3%</f>
        <v>4.3999999999999997E-2</v>
      </c>
      <c r="E36" s="147">
        <f>F36-0.3%</f>
        <v>4.7E-2</v>
      </c>
      <c r="F36" s="153">
        <f>5%</f>
        <v>0.05</v>
      </c>
      <c r="G36" s="147">
        <f>F36+0.3%</f>
        <v>5.3000000000000005E-2</v>
      </c>
      <c r="H36" s="147">
        <f>G36+0.3%</f>
        <v>5.6000000000000008E-2</v>
      </c>
      <c r="I36" s="147">
        <f>H36+0.3%</f>
        <v>5.9000000000000011E-2</v>
      </c>
    </row>
    <row r="37" spans="1:9">
      <c r="A37" s="164" t="s">
        <v>691</v>
      </c>
      <c r="B37" s="146">
        <f>B38-0.3%</f>
        <v>0.10609999999999999</v>
      </c>
      <c r="C37" s="134">
        <f t="dataTable" ref="C37:I43" dt2D="1" dtr="1" r1="K23" r2="J23"/>
        <v>140.5569837908746</v>
      </c>
      <c r="D37" s="135">
        <v>145.93030986095599</v>
      </c>
      <c r="E37" s="135">
        <v>151.84915126810148</v>
      </c>
      <c r="F37" s="154">
        <v>158.40102384178661</v>
      </c>
      <c r="G37" s="135">
        <v>165.69322100006889</v>
      </c>
      <c r="H37" s="135">
        <v>173.85873518329527</v>
      </c>
      <c r="I37" s="136">
        <v>183.06444225610451</v>
      </c>
    </row>
    <row r="38" spans="1:9">
      <c r="A38" s="165"/>
      <c r="B38" s="146">
        <f>B39-0.3%</f>
        <v>0.10909999999999999</v>
      </c>
      <c r="C38" s="137">
        <v>134.13821808818523</v>
      </c>
      <c r="D38" s="138">
        <v>138.97819012060009</v>
      </c>
      <c r="E38" s="138">
        <v>144.28579230107434</v>
      </c>
      <c r="F38" s="151">
        <v>150.13223734251051</v>
      </c>
      <c r="G38" s="138">
        <v>156.60397062367238</v>
      </c>
      <c r="H38" s="138">
        <v>163.80697320214074</v>
      </c>
      <c r="I38" s="139">
        <v>171.8726108199466</v>
      </c>
    </row>
    <row r="39" spans="1:9">
      <c r="A39" s="165"/>
      <c r="B39" s="146">
        <f>B40-0.3%</f>
        <v>0.11209999999999999</v>
      </c>
      <c r="C39" s="137">
        <v>128.2637872969392</v>
      </c>
      <c r="D39" s="138">
        <v>132.64126402345505</v>
      </c>
      <c r="E39" s="138">
        <v>137.42219482614746</v>
      </c>
      <c r="F39" s="151">
        <v>142.66505131025946</v>
      </c>
      <c r="G39" s="138">
        <v>148.4401774881899</v>
      </c>
      <c r="H39" s="138">
        <v>154.83296421990968</v>
      </c>
      <c r="I39" s="139">
        <v>161.94809973487466</v>
      </c>
    </row>
    <row r="40" spans="1:9">
      <c r="A40" s="165"/>
      <c r="B40" s="149">
        <v>0.11509999999999999</v>
      </c>
      <c r="C40" s="150">
        <v>122.86753720187167</v>
      </c>
      <c r="D40" s="151">
        <v>126.84161820894043</v>
      </c>
      <c r="E40" s="151">
        <v>131.16583851178618</v>
      </c>
      <c r="F40" s="151">
        <v>135.88860446466379</v>
      </c>
      <c r="G40" s="151">
        <v>141.06767630670831</v>
      </c>
      <c r="H40" s="151">
        <v>146.77254224439193</v>
      </c>
      <c r="I40" s="152">
        <v>153.0875542716673</v>
      </c>
    </row>
    <row r="41" spans="1:9">
      <c r="A41" s="165"/>
      <c r="B41" s="146">
        <f>B40+0.3%</f>
        <v>0.1181</v>
      </c>
      <c r="C41" s="137">
        <v>117.89361068655887</v>
      </c>
      <c r="D41" s="138">
        <v>121.5139575883334</v>
      </c>
      <c r="E41" s="138">
        <v>125.43981899658674</v>
      </c>
      <c r="F41" s="151">
        <v>129.71157127781396</v>
      </c>
      <c r="G41" s="138">
        <v>134.37703344671189</v>
      </c>
      <c r="H41" s="138">
        <v>139.49326490729081</v>
      </c>
      <c r="I41" s="139">
        <v>145.1289107293498</v>
      </c>
    </row>
    <row r="42" spans="1:9">
      <c r="A42" s="165"/>
      <c r="B42" s="146">
        <f>B41+0.3%</f>
        <v>0.1211</v>
      </c>
      <c r="C42" s="137">
        <v>113.29451942292916</v>
      </c>
      <c r="D42" s="138">
        <v>116.60315041324492</v>
      </c>
      <c r="E42" s="138">
        <v>120.17968674690603</v>
      </c>
      <c r="F42" s="151">
        <v>124.05804049269054</v>
      </c>
      <c r="G42" s="138">
        <v>128.27809941431502</v>
      </c>
      <c r="H42" s="138">
        <v>132.88710385866995</v>
      </c>
      <c r="I42" s="139">
        <v>137.9414227420929</v>
      </c>
    </row>
    <row r="43" spans="1:9">
      <c r="A43" s="166"/>
      <c r="B43" s="146">
        <f>B42+0.3%</f>
        <v>0.1241</v>
      </c>
      <c r="C43" s="140">
        <v>109.0296332456988</v>
      </c>
      <c r="D43" s="141">
        <v>112.06232501444345</v>
      </c>
      <c r="E43" s="141">
        <v>115.33102392472468</v>
      </c>
      <c r="F43" s="155">
        <v>118.86439481154687</v>
      </c>
      <c r="G43" s="141">
        <v>122.69594045675069</v>
      </c>
      <c r="H43" s="141">
        <v>126.86506721606939</v>
      </c>
      <c r="I43" s="142">
        <v>131.41844528961101</v>
      </c>
    </row>
  </sheetData>
  <mergeCells count="2">
    <mergeCell ref="A37:A43"/>
    <mergeCell ref="C35:I35"/>
  </mergeCells>
  <phoneticPr fontId="2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B0295-64B7-374B-BE6C-45596A361FAD}">
  <dimension ref="A6:IU48"/>
  <sheetViews>
    <sheetView topLeftCell="A17" zoomScale="119" workbookViewId="0">
      <selection activeCell="D43" sqref="D43"/>
    </sheetView>
  </sheetViews>
  <sheetFormatPr baseColWidth="10" defaultRowHeight="11"/>
  <cols>
    <col min="1" max="1" width="47.83203125" customWidth="1"/>
    <col min="2" max="9" width="20.83203125" customWidth="1"/>
    <col min="10" max="256" width="8.83203125" customWidth="1"/>
    <col min="257" max="257" width="47.83203125" customWidth="1"/>
    <col min="258" max="265" width="20.83203125" customWidth="1"/>
    <col min="266" max="512" width="8.83203125" customWidth="1"/>
    <col min="513" max="513" width="47.83203125" customWidth="1"/>
    <col min="514" max="521" width="20.83203125" customWidth="1"/>
    <col min="522" max="768" width="8.83203125" customWidth="1"/>
    <col min="769" max="769" width="47.83203125" customWidth="1"/>
    <col min="770" max="777" width="20.83203125" customWidth="1"/>
    <col min="778" max="1024" width="8.83203125" customWidth="1"/>
    <col min="1025" max="1025" width="47.83203125" customWidth="1"/>
    <col min="1026" max="1033" width="20.83203125" customWidth="1"/>
    <col min="1034" max="1280" width="8.83203125" customWidth="1"/>
    <col min="1281" max="1281" width="47.83203125" customWidth="1"/>
    <col min="1282" max="1289" width="20.83203125" customWidth="1"/>
    <col min="1290" max="1536" width="8.83203125" customWidth="1"/>
    <col min="1537" max="1537" width="47.83203125" customWidth="1"/>
    <col min="1538" max="1545" width="20.83203125" customWidth="1"/>
    <col min="1546" max="1792" width="8.83203125" customWidth="1"/>
    <col min="1793" max="1793" width="47.83203125" customWidth="1"/>
    <col min="1794" max="1801" width="20.83203125" customWidth="1"/>
    <col min="1802" max="2048" width="8.83203125" customWidth="1"/>
    <col min="2049" max="2049" width="47.83203125" customWidth="1"/>
    <col min="2050" max="2057" width="20.83203125" customWidth="1"/>
    <col min="2058" max="2304" width="8.83203125" customWidth="1"/>
    <col min="2305" max="2305" width="47.83203125" customWidth="1"/>
    <col min="2306" max="2313" width="20.83203125" customWidth="1"/>
    <col min="2314" max="2560" width="8.83203125" customWidth="1"/>
    <col min="2561" max="2561" width="47.83203125" customWidth="1"/>
    <col min="2562" max="2569" width="20.83203125" customWidth="1"/>
    <col min="2570" max="2816" width="8.83203125" customWidth="1"/>
    <col min="2817" max="2817" width="47.83203125" customWidth="1"/>
    <col min="2818" max="2825" width="20.83203125" customWidth="1"/>
    <col min="2826" max="3072" width="8.83203125" customWidth="1"/>
    <col min="3073" max="3073" width="47.83203125" customWidth="1"/>
    <col min="3074" max="3081" width="20.83203125" customWidth="1"/>
    <col min="3082" max="3328" width="8.83203125" customWidth="1"/>
    <col min="3329" max="3329" width="47.83203125" customWidth="1"/>
    <col min="3330" max="3337" width="20.83203125" customWidth="1"/>
    <col min="3338" max="3584" width="8.83203125" customWidth="1"/>
    <col min="3585" max="3585" width="47.83203125" customWidth="1"/>
    <col min="3586" max="3593" width="20.83203125" customWidth="1"/>
    <col min="3594" max="3840" width="8.83203125" customWidth="1"/>
    <col min="3841" max="3841" width="47.83203125" customWidth="1"/>
    <col min="3842" max="3849" width="20.83203125" customWidth="1"/>
    <col min="3850" max="4096" width="8.83203125" customWidth="1"/>
    <col min="4097" max="4097" width="47.83203125" customWidth="1"/>
    <col min="4098" max="4105" width="20.83203125" customWidth="1"/>
    <col min="4106" max="4352" width="8.83203125" customWidth="1"/>
    <col min="4353" max="4353" width="47.83203125" customWidth="1"/>
    <col min="4354" max="4361" width="20.83203125" customWidth="1"/>
    <col min="4362" max="4608" width="8.83203125" customWidth="1"/>
    <col min="4609" max="4609" width="47.83203125" customWidth="1"/>
    <col min="4610" max="4617" width="20.83203125" customWidth="1"/>
    <col min="4618" max="4864" width="8.83203125" customWidth="1"/>
    <col min="4865" max="4865" width="47.83203125" customWidth="1"/>
    <col min="4866" max="4873" width="20.83203125" customWidth="1"/>
    <col min="4874" max="5120" width="8.83203125" customWidth="1"/>
    <col min="5121" max="5121" width="47.83203125" customWidth="1"/>
    <col min="5122" max="5129" width="20.83203125" customWidth="1"/>
    <col min="5130" max="5376" width="8.83203125" customWidth="1"/>
    <col min="5377" max="5377" width="47.83203125" customWidth="1"/>
    <col min="5378" max="5385" width="20.83203125" customWidth="1"/>
    <col min="5386" max="5632" width="8.83203125" customWidth="1"/>
    <col min="5633" max="5633" width="47.83203125" customWidth="1"/>
    <col min="5634" max="5641" width="20.83203125" customWidth="1"/>
    <col min="5642" max="5888" width="8.83203125" customWidth="1"/>
    <col min="5889" max="5889" width="47.83203125" customWidth="1"/>
    <col min="5890" max="5897" width="20.83203125" customWidth="1"/>
    <col min="5898" max="6144" width="8.83203125" customWidth="1"/>
    <col min="6145" max="6145" width="47.83203125" customWidth="1"/>
    <col min="6146" max="6153" width="20.83203125" customWidth="1"/>
    <col min="6154" max="6400" width="8.83203125" customWidth="1"/>
    <col min="6401" max="6401" width="47.83203125" customWidth="1"/>
    <col min="6402" max="6409" width="20.83203125" customWidth="1"/>
    <col min="6410" max="6656" width="8.83203125" customWidth="1"/>
    <col min="6657" max="6657" width="47.83203125" customWidth="1"/>
    <col min="6658" max="6665" width="20.83203125" customWidth="1"/>
    <col min="6666" max="6912" width="8.83203125" customWidth="1"/>
    <col min="6913" max="6913" width="47.83203125" customWidth="1"/>
    <col min="6914" max="6921" width="20.83203125" customWidth="1"/>
    <col min="6922" max="7168" width="8.83203125" customWidth="1"/>
    <col min="7169" max="7169" width="47.83203125" customWidth="1"/>
    <col min="7170" max="7177" width="20.83203125" customWidth="1"/>
    <col min="7178" max="7424" width="8.83203125" customWidth="1"/>
    <col min="7425" max="7425" width="47.83203125" customWidth="1"/>
    <col min="7426" max="7433" width="20.83203125" customWidth="1"/>
    <col min="7434" max="7680" width="8.83203125" customWidth="1"/>
    <col min="7681" max="7681" width="47.83203125" customWidth="1"/>
    <col min="7682" max="7689" width="20.83203125" customWidth="1"/>
    <col min="7690" max="7936" width="8.83203125" customWidth="1"/>
    <col min="7937" max="7937" width="47.83203125" customWidth="1"/>
    <col min="7938" max="7945" width="20.83203125" customWidth="1"/>
    <col min="7946" max="8192" width="8.83203125" customWidth="1"/>
    <col min="8193" max="8193" width="47.83203125" customWidth="1"/>
    <col min="8194" max="8201" width="20.83203125" customWidth="1"/>
    <col min="8202" max="8448" width="8.83203125" customWidth="1"/>
    <col min="8449" max="8449" width="47.83203125" customWidth="1"/>
    <col min="8450" max="8457" width="20.83203125" customWidth="1"/>
    <col min="8458" max="8704" width="8.83203125" customWidth="1"/>
    <col min="8705" max="8705" width="47.83203125" customWidth="1"/>
    <col min="8706" max="8713" width="20.83203125" customWidth="1"/>
    <col min="8714" max="8960" width="8.83203125" customWidth="1"/>
    <col min="8961" max="8961" width="47.83203125" customWidth="1"/>
    <col min="8962" max="8969" width="20.83203125" customWidth="1"/>
    <col min="8970" max="9216" width="8.83203125" customWidth="1"/>
    <col min="9217" max="9217" width="47.83203125" customWidth="1"/>
    <col min="9218" max="9225" width="20.83203125" customWidth="1"/>
    <col min="9226" max="9472" width="8.83203125" customWidth="1"/>
    <col min="9473" max="9473" width="47.83203125" customWidth="1"/>
    <col min="9474" max="9481" width="20.83203125" customWidth="1"/>
    <col min="9482" max="9728" width="8.83203125" customWidth="1"/>
    <col min="9729" max="9729" width="47.83203125" customWidth="1"/>
    <col min="9730" max="9737" width="20.83203125" customWidth="1"/>
    <col min="9738" max="9984" width="8.83203125" customWidth="1"/>
    <col min="9985" max="9985" width="47.83203125" customWidth="1"/>
    <col min="9986" max="9993" width="20.83203125" customWidth="1"/>
    <col min="9994" max="10240" width="8.83203125" customWidth="1"/>
    <col min="10241" max="10241" width="47.83203125" customWidth="1"/>
    <col min="10242" max="10249" width="20.83203125" customWidth="1"/>
    <col min="10250" max="10496" width="8.83203125" customWidth="1"/>
    <col min="10497" max="10497" width="47.83203125" customWidth="1"/>
    <col min="10498" max="10505" width="20.83203125" customWidth="1"/>
    <col min="10506" max="10752" width="8.83203125" customWidth="1"/>
    <col min="10753" max="10753" width="47.83203125" customWidth="1"/>
    <col min="10754" max="10761" width="20.83203125" customWidth="1"/>
    <col min="10762" max="11008" width="8.83203125" customWidth="1"/>
    <col min="11009" max="11009" width="47.83203125" customWidth="1"/>
    <col min="11010" max="11017" width="20.83203125" customWidth="1"/>
    <col min="11018" max="11264" width="8.83203125" customWidth="1"/>
    <col min="11265" max="11265" width="47.83203125" customWidth="1"/>
    <col min="11266" max="11273" width="20.83203125" customWidth="1"/>
    <col min="11274" max="11520" width="8.83203125" customWidth="1"/>
    <col min="11521" max="11521" width="47.83203125" customWidth="1"/>
    <col min="11522" max="11529" width="20.83203125" customWidth="1"/>
    <col min="11530" max="11776" width="8.83203125" customWidth="1"/>
    <col min="11777" max="11777" width="47.83203125" customWidth="1"/>
    <col min="11778" max="11785" width="20.83203125" customWidth="1"/>
    <col min="11786" max="12032" width="8.83203125" customWidth="1"/>
    <col min="12033" max="12033" width="47.83203125" customWidth="1"/>
    <col min="12034" max="12041" width="20.83203125" customWidth="1"/>
    <col min="12042" max="12288" width="8.83203125" customWidth="1"/>
    <col min="12289" max="12289" width="47.83203125" customWidth="1"/>
    <col min="12290" max="12297" width="20.83203125" customWidth="1"/>
    <col min="12298" max="12544" width="8.83203125" customWidth="1"/>
    <col min="12545" max="12545" width="47.83203125" customWidth="1"/>
    <col min="12546" max="12553" width="20.83203125" customWidth="1"/>
    <col min="12554" max="12800" width="8.83203125" customWidth="1"/>
    <col min="12801" max="12801" width="47.83203125" customWidth="1"/>
    <col min="12802" max="12809" width="20.83203125" customWidth="1"/>
    <col min="12810" max="13056" width="8.83203125" customWidth="1"/>
    <col min="13057" max="13057" width="47.83203125" customWidth="1"/>
    <col min="13058" max="13065" width="20.83203125" customWidth="1"/>
    <col min="13066" max="13312" width="8.83203125" customWidth="1"/>
    <col min="13313" max="13313" width="47.83203125" customWidth="1"/>
    <col min="13314" max="13321" width="20.83203125" customWidth="1"/>
    <col min="13322" max="13568" width="8.83203125" customWidth="1"/>
    <col min="13569" max="13569" width="47.83203125" customWidth="1"/>
    <col min="13570" max="13577" width="20.83203125" customWidth="1"/>
    <col min="13578" max="13824" width="8.83203125" customWidth="1"/>
    <col min="13825" max="13825" width="47.83203125" customWidth="1"/>
    <col min="13826" max="13833" width="20.83203125" customWidth="1"/>
    <col min="13834" max="14080" width="8.83203125" customWidth="1"/>
    <col min="14081" max="14081" width="47.83203125" customWidth="1"/>
    <col min="14082" max="14089" width="20.83203125" customWidth="1"/>
    <col min="14090" max="14336" width="8.83203125" customWidth="1"/>
    <col min="14337" max="14337" width="47.83203125" customWidth="1"/>
    <col min="14338" max="14345" width="20.83203125" customWidth="1"/>
    <col min="14346" max="14592" width="8.83203125" customWidth="1"/>
    <col min="14593" max="14593" width="47.83203125" customWidth="1"/>
    <col min="14594" max="14601" width="20.83203125" customWidth="1"/>
    <col min="14602" max="14848" width="8.83203125" customWidth="1"/>
    <col min="14849" max="14849" width="47.83203125" customWidth="1"/>
    <col min="14850" max="14857" width="20.83203125" customWidth="1"/>
    <col min="14858" max="15104" width="8.83203125" customWidth="1"/>
    <col min="15105" max="15105" width="47.83203125" customWidth="1"/>
    <col min="15106" max="15113" width="20.83203125" customWidth="1"/>
    <col min="15114" max="15360" width="8.83203125" customWidth="1"/>
    <col min="15361" max="15361" width="47.83203125" customWidth="1"/>
    <col min="15362" max="15369" width="20.83203125" customWidth="1"/>
    <col min="15370" max="15616" width="8.83203125" customWidth="1"/>
    <col min="15617" max="15617" width="47.83203125" customWidth="1"/>
    <col min="15618" max="15625" width="20.83203125" customWidth="1"/>
    <col min="15626" max="15872" width="8.83203125" customWidth="1"/>
    <col min="15873" max="15873" width="47.83203125" customWidth="1"/>
    <col min="15874" max="15881" width="20.83203125" customWidth="1"/>
    <col min="15882" max="16128" width="8.83203125" customWidth="1"/>
    <col min="16129" max="16129" width="47.83203125" customWidth="1"/>
    <col min="16130" max="16137" width="20.83203125" customWidth="1"/>
    <col min="16138" max="16384" width="8.83203125" customWidth="1"/>
  </cols>
  <sheetData>
    <row r="6" spans="1:255" ht="17">
      <c r="A6" s="1" t="s">
        <v>694</v>
      </c>
    </row>
    <row r="7" spans="1:255">
      <c r="A7" s="6" t="s">
        <v>695</v>
      </c>
      <c r="B7" s="6"/>
      <c r="C7" s="6"/>
      <c r="D7" s="6"/>
      <c r="E7" s="6"/>
      <c r="F7" s="6"/>
      <c r="G7" s="6"/>
      <c r="H7" s="6"/>
      <c r="I7" s="6"/>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c r="HC7" s="27"/>
      <c r="HD7" s="27"/>
      <c r="HE7" s="27"/>
      <c r="HF7" s="27"/>
      <c r="HG7" s="27"/>
      <c r="HH7" s="27"/>
      <c r="HI7" s="27"/>
      <c r="HJ7" s="27"/>
      <c r="HK7" s="27"/>
      <c r="HL7" s="27"/>
      <c r="HM7" s="27"/>
      <c r="HN7" s="27"/>
      <c r="HO7" s="27"/>
      <c r="HP7" s="27"/>
      <c r="HQ7" s="27"/>
      <c r="HR7" s="27"/>
      <c r="HS7" s="27"/>
      <c r="HT7" s="27"/>
      <c r="HU7" s="27"/>
      <c r="HV7" s="27"/>
      <c r="HW7" s="27"/>
      <c r="HX7" s="27"/>
      <c r="HY7" s="27"/>
      <c r="HZ7" s="27"/>
      <c r="IA7" s="27"/>
      <c r="IB7" s="27"/>
      <c r="IC7" s="27"/>
      <c r="ID7" s="27"/>
      <c r="IE7" s="27"/>
      <c r="IF7" s="27"/>
      <c r="IG7" s="27"/>
      <c r="IH7" s="27"/>
      <c r="II7" s="27"/>
      <c r="IJ7" s="27"/>
      <c r="IK7" s="27"/>
      <c r="IL7" s="27"/>
      <c r="IM7" s="27"/>
      <c r="IN7" s="27"/>
      <c r="IO7" s="27"/>
      <c r="IP7" s="27"/>
      <c r="IQ7" s="27"/>
      <c r="IR7" s="27"/>
      <c r="IS7" s="27"/>
      <c r="IT7" s="27"/>
      <c r="IU7" s="27"/>
    </row>
    <row r="8" spans="1:255">
      <c r="A8" s="3" t="s">
        <v>83</v>
      </c>
      <c r="B8" s="156" t="s">
        <v>696</v>
      </c>
    </row>
    <row r="9" spans="1:255">
      <c r="A9" s="3" t="s">
        <v>2</v>
      </c>
      <c r="B9" s="156" t="s">
        <v>697</v>
      </c>
    </row>
    <row r="10" spans="1:255">
      <c r="A10" s="3" t="s">
        <v>698</v>
      </c>
      <c r="B10" s="157">
        <v>45368</v>
      </c>
    </row>
    <row r="11" spans="1:255">
      <c r="A11" s="4"/>
    </row>
    <row r="13" spans="1:255">
      <c r="A13" s="6" t="s">
        <v>699</v>
      </c>
      <c r="B13" s="6"/>
      <c r="C13" s="6"/>
      <c r="D13" s="6"/>
      <c r="E13" s="6"/>
      <c r="F13" s="6"/>
      <c r="G13" s="6"/>
      <c r="H13" s="6"/>
      <c r="I13" s="6"/>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row>
    <row r="14" spans="1:255" ht="24">
      <c r="A14" s="158" t="s">
        <v>700</v>
      </c>
      <c r="B14" s="159" t="s">
        <v>701</v>
      </c>
      <c r="C14" s="159" t="s">
        <v>702</v>
      </c>
      <c r="D14" s="159" t="s">
        <v>703</v>
      </c>
      <c r="E14" s="159" t="s">
        <v>704</v>
      </c>
      <c r="F14" s="159" t="s">
        <v>705</v>
      </c>
      <c r="G14" s="159" t="s">
        <v>706</v>
      </c>
      <c r="H14" s="159" t="s">
        <v>707</v>
      </c>
      <c r="I14" s="159" t="s">
        <v>708</v>
      </c>
    </row>
    <row r="15" spans="1:255" ht="12">
      <c r="A15" s="158" t="s">
        <v>733</v>
      </c>
      <c r="B15" s="23">
        <v>13.5</v>
      </c>
      <c r="C15" s="23">
        <v>75.7</v>
      </c>
      <c r="D15" s="160" t="s">
        <v>711</v>
      </c>
      <c r="E15" s="160" t="s">
        <v>711</v>
      </c>
      <c r="F15" s="23">
        <v>30.1</v>
      </c>
      <c r="G15" s="24">
        <v>11.84</v>
      </c>
      <c r="H15" s="24">
        <v>62.27</v>
      </c>
      <c r="I15" s="24">
        <v>52.36</v>
      </c>
    </row>
    <row r="16" spans="1:255" ht="12">
      <c r="A16" s="158" t="s">
        <v>709</v>
      </c>
      <c r="B16" s="23">
        <v>5.5</v>
      </c>
      <c r="C16" s="23">
        <v>16.100000000000001</v>
      </c>
      <c r="D16" s="23">
        <v>19.2</v>
      </c>
      <c r="E16" s="23">
        <v>24.3</v>
      </c>
      <c r="F16" s="23">
        <v>6.9</v>
      </c>
      <c r="G16" s="24">
        <v>4.9000000000000004</v>
      </c>
      <c r="H16" s="24">
        <v>12</v>
      </c>
      <c r="I16" s="24">
        <v>20.8</v>
      </c>
    </row>
    <row r="17" spans="1:9" ht="12">
      <c r="A17" s="158" t="s">
        <v>715</v>
      </c>
      <c r="B17" s="23">
        <v>1.1000000000000001</v>
      </c>
      <c r="C17" s="23">
        <v>15.6</v>
      </c>
      <c r="D17" s="23">
        <v>18.100000000000001</v>
      </c>
      <c r="E17" s="23">
        <v>24.5</v>
      </c>
      <c r="F17" s="160" t="s">
        <v>711</v>
      </c>
      <c r="G17" s="24">
        <v>1.01</v>
      </c>
      <c r="H17" s="24">
        <v>8.49</v>
      </c>
      <c r="I17" s="24">
        <v>14.14</v>
      </c>
    </row>
    <row r="18" spans="1:9" ht="12">
      <c r="A18" s="158" t="s">
        <v>716</v>
      </c>
      <c r="B18" s="23">
        <v>1.1000000000000001</v>
      </c>
      <c r="C18" s="23">
        <v>5.9</v>
      </c>
      <c r="D18" s="23">
        <v>12.1</v>
      </c>
      <c r="E18" s="23">
        <v>11.5</v>
      </c>
      <c r="F18" s="23">
        <v>7.6</v>
      </c>
      <c r="G18" s="24">
        <v>1.06</v>
      </c>
      <c r="H18" s="24">
        <v>5.62</v>
      </c>
      <c r="I18" s="24">
        <v>8.8800000000000008</v>
      </c>
    </row>
    <row r="19" spans="1:9" ht="12">
      <c r="A19" s="158" t="s">
        <v>714</v>
      </c>
      <c r="B19" s="23">
        <v>0.7</v>
      </c>
      <c r="C19" s="23">
        <v>6.9</v>
      </c>
      <c r="D19" s="23">
        <v>8.8000000000000007</v>
      </c>
      <c r="E19" s="23">
        <v>8.9</v>
      </c>
      <c r="F19" s="160" t="s">
        <v>711</v>
      </c>
      <c r="G19" s="24">
        <v>0.7</v>
      </c>
      <c r="H19" s="24">
        <v>7.11</v>
      </c>
      <c r="I19" s="24">
        <v>8.73</v>
      </c>
    </row>
    <row r="20" spans="1:9" ht="12">
      <c r="A20" s="158" t="s">
        <v>734</v>
      </c>
      <c r="B20" s="23">
        <v>3.8</v>
      </c>
      <c r="C20" s="23">
        <v>20.7</v>
      </c>
      <c r="D20" s="160" t="s">
        <v>711</v>
      </c>
      <c r="E20" s="23">
        <v>106.6</v>
      </c>
      <c r="F20" s="23">
        <v>2.5</v>
      </c>
      <c r="G20" s="24">
        <v>3.62</v>
      </c>
      <c r="H20" s="24">
        <v>12.82</v>
      </c>
      <c r="I20" s="24">
        <v>31.21</v>
      </c>
    </row>
    <row r="21" spans="1:9" ht="12">
      <c r="A21" s="158" t="s">
        <v>717</v>
      </c>
      <c r="B21" s="23">
        <v>13.7</v>
      </c>
      <c r="C21" s="23">
        <v>25.7</v>
      </c>
      <c r="D21" s="23">
        <v>30.8</v>
      </c>
      <c r="E21" s="23">
        <v>37.6</v>
      </c>
      <c r="F21" s="23">
        <v>34.6</v>
      </c>
      <c r="G21" s="24">
        <v>12.01</v>
      </c>
      <c r="H21" s="24">
        <v>22.86</v>
      </c>
      <c r="I21" s="24">
        <v>34.15</v>
      </c>
    </row>
    <row r="22" spans="1:9" ht="12">
      <c r="A22" s="158" t="s">
        <v>710</v>
      </c>
      <c r="B22" s="23">
        <v>3.4</v>
      </c>
      <c r="C22" s="23">
        <v>13.8</v>
      </c>
      <c r="D22" s="23">
        <v>17</v>
      </c>
      <c r="E22" s="23">
        <v>23.3</v>
      </c>
      <c r="F22" s="160" t="s">
        <v>711</v>
      </c>
      <c r="G22" s="24">
        <v>3.23</v>
      </c>
      <c r="H22" s="24">
        <v>10.82</v>
      </c>
      <c r="I22" s="24">
        <v>15.39</v>
      </c>
    </row>
    <row r="23" spans="1:9" ht="12">
      <c r="A23" s="158" t="s">
        <v>735</v>
      </c>
      <c r="B23" s="23">
        <v>35.200000000000003</v>
      </c>
      <c r="C23" s="23">
        <v>61.8</v>
      </c>
      <c r="D23" s="23">
        <v>65.099999999999994</v>
      </c>
      <c r="E23" s="23">
        <v>73.599999999999994</v>
      </c>
      <c r="F23" s="23">
        <v>57.8</v>
      </c>
      <c r="G23" s="24">
        <v>19.420000000000002</v>
      </c>
      <c r="H23" s="24">
        <v>30.6</v>
      </c>
      <c r="I23" s="24">
        <v>35.619999999999997</v>
      </c>
    </row>
    <row r="24" spans="1:9" ht="12">
      <c r="A24" s="158" t="s">
        <v>712</v>
      </c>
      <c r="B24" s="23">
        <v>5.2</v>
      </c>
      <c r="C24" s="23">
        <v>17.2</v>
      </c>
      <c r="D24" s="23">
        <v>21.1</v>
      </c>
      <c r="E24" s="23">
        <v>23.9</v>
      </c>
      <c r="F24" s="23">
        <v>17.100000000000001</v>
      </c>
      <c r="G24" s="24">
        <v>4.92</v>
      </c>
      <c r="H24" s="24">
        <v>12.96</v>
      </c>
      <c r="I24" s="24">
        <v>17.14</v>
      </c>
    </row>
    <row r="25" spans="1:9" ht="12">
      <c r="A25" s="158" t="s">
        <v>713</v>
      </c>
      <c r="B25" s="23">
        <v>1.6</v>
      </c>
      <c r="C25" s="23">
        <v>9</v>
      </c>
      <c r="D25" s="23">
        <v>55.5</v>
      </c>
      <c r="E25" s="23">
        <v>33.9</v>
      </c>
      <c r="F25" s="23">
        <v>1.5</v>
      </c>
      <c r="G25" s="24">
        <v>1.37</v>
      </c>
      <c r="H25" s="24">
        <v>5.46</v>
      </c>
      <c r="I25" s="24">
        <v>16.63</v>
      </c>
    </row>
    <row r="26" spans="1:9">
      <c r="A26" s="161"/>
      <c r="B26" s="161"/>
      <c r="C26" s="161"/>
      <c r="D26" s="161"/>
      <c r="E26" s="161"/>
      <c r="F26" s="161"/>
      <c r="G26" s="161"/>
      <c r="H26" s="161"/>
      <c r="I26" s="161"/>
    </row>
    <row r="27" spans="1:9" ht="24">
      <c r="A27" s="158" t="s">
        <v>718</v>
      </c>
      <c r="B27" s="159" t="s">
        <v>701</v>
      </c>
      <c r="C27" s="159" t="s">
        <v>702</v>
      </c>
      <c r="D27" s="159" t="s">
        <v>703</v>
      </c>
      <c r="E27" s="159" t="s">
        <v>704</v>
      </c>
      <c r="F27" s="159" t="s">
        <v>705</v>
      </c>
      <c r="G27" s="159" t="s">
        <v>706</v>
      </c>
      <c r="H27" s="159" t="s">
        <v>707</v>
      </c>
      <c r="I27" s="159" t="s">
        <v>708</v>
      </c>
    </row>
    <row r="28" spans="1:9" ht="12">
      <c r="A28" s="158" t="s">
        <v>719</v>
      </c>
      <c r="B28" s="23">
        <v>35.200000000000003</v>
      </c>
      <c r="C28" s="23">
        <v>75.7</v>
      </c>
      <c r="D28" s="23">
        <v>65.099999999999994</v>
      </c>
      <c r="E28" s="23">
        <v>106.6</v>
      </c>
      <c r="F28" s="23">
        <v>57.8</v>
      </c>
      <c r="G28" s="24">
        <v>19.420000000000002</v>
      </c>
      <c r="H28" s="24">
        <v>62.27</v>
      </c>
      <c r="I28" s="24">
        <v>52.36</v>
      </c>
    </row>
    <row r="29" spans="1:9" ht="12">
      <c r="A29" s="158" t="s">
        <v>720</v>
      </c>
      <c r="B29" s="23">
        <v>0.7</v>
      </c>
      <c r="C29" s="23">
        <v>5.9</v>
      </c>
      <c r="D29" s="23">
        <v>8.8000000000000007</v>
      </c>
      <c r="E29" s="23">
        <v>8.9</v>
      </c>
      <c r="F29" s="23">
        <v>1.5</v>
      </c>
      <c r="G29" s="24">
        <v>0.7</v>
      </c>
      <c r="H29" s="24">
        <v>5.46</v>
      </c>
      <c r="I29" s="24">
        <v>8.73</v>
      </c>
    </row>
    <row r="30" spans="1:9" ht="12">
      <c r="A30" s="158" t="s">
        <v>721</v>
      </c>
      <c r="B30" s="23">
        <v>7.7</v>
      </c>
      <c r="C30" s="23">
        <v>24.4</v>
      </c>
      <c r="D30" s="23">
        <v>27.5</v>
      </c>
      <c r="E30" s="23">
        <v>36.799999999999997</v>
      </c>
      <c r="F30" s="23">
        <v>19.8</v>
      </c>
      <c r="G30" s="24">
        <v>5.83</v>
      </c>
      <c r="H30" s="24">
        <v>17.36</v>
      </c>
      <c r="I30" s="24">
        <v>23.19</v>
      </c>
    </row>
    <row r="31" spans="1:9" ht="12">
      <c r="A31" s="158" t="s">
        <v>722</v>
      </c>
      <c r="B31" s="23">
        <v>3.8</v>
      </c>
      <c r="C31" s="23">
        <v>16.100000000000001</v>
      </c>
      <c r="D31" s="23">
        <v>19.2</v>
      </c>
      <c r="E31" s="23">
        <v>24.4</v>
      </c>
      <c r="F31" s="23">
        <v>12.4</v>
      </c>
      <c r="G31" s="24">
        <v>3.62</v>
      </c>
      <c r="H31" s="24">
        <v>12</v>
      </c>
      <c r="I31" s="24">
        <v>17.14</v>
      </c>
    </row>
    <row r="32" spans="1:9">
      <c r="A32" s="11"/>
      <c r="B32" s="11"/>
      <c r="C32" s="11"/>
      <c r="D32" s="11"/>
      <c r="E32" s="11"/>
      <c r="F32" s="11"/>
      <c r="G32" s="11"/>
      <c r="H32" s="11"/>
      <c r="I32" s="11"/>
    </row>
    <row r="34" spans="1:4">
      <c r="A34" s="4" t="s">
        <v>736</v>
      </c>
    </row>
    <row r="37" spans="1:4">
      <c r="A37" t="s">
        <v>723</v>
      </c>
    </row>
    <row r="39" spans="1:4">
      <c r="A39" t="s">
        <v>724</v>
      </c>
    </row>
    <row r="41" spans="1:4">
      <c r="A41" s="172" t="s">
        <v>737</v>
      </c>
      <c r="B41" s="173"/>
      <c r="C41" s="173"/>
      <c r="D41" s="162"/>
    </row>
    <row r="42" spans="1:4">
      <c r="A42" s="176"/>
      <c r="B42" s="177" t="s">
        <v>730</v>
      </c>
      <c r="C42" s="177" t="s">
        <v>731</v>
      </c>
      <c r="D42" s="178" t="s">
        <v>732</v>
      </c>
    </row>
    <row r="43" spans="1:4">
      <c r="A43" s="163" t="s">
        <v>726</v>
      </c>
      <c r="B43" s="179">
        <f>6.68</f>
        <v>6.68</v>
      </c>
      <c r="C43" s="180">
        <f>I30</f>
        <v>23.19</v>
      </c>
      <c r="D43" s="181">
        <f>B43*C43</f>
        <v>154.9092</v>
      </c>
    </row>
    <row r="48" spans="1:4">
      <c r="A48" s="170" t="s">
        <v>725</v>
      </c>
      <c r="B48" s="171"/>
      <c r="C48" s="171"/>
    </row>
  </sheetData>
  <mergeCells count="2">
    <mergeCell ref="A48:C48"/>
    <mergeCell ref="A41:C41"/>
  </mergeCells>
  <phoneticPr fontId="20"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autoPageBreaks="0"/>
  </sheetPr>
  <dimension ref="A5:IU66"/>
  <sheetViews>
    <sheetView workbookViewId="0"/>
  </sheetViews>
  <sheetFormatPr baseColWidth="10" defaultRowHeight="11"/>
  <cols>
    <col min="1" max="1" width="45.83203125" customWidth="1"/>
    <col min="2" max="12" width="14.83203125" customWidth="1"/>
    <col min="13" max="256" width="8.83203125" customWidth="1"/>
  </cols>
  <sheetData>
    <row r="5" spans="1:255" ht="17">
      <c r="A5" s="1" t="s">
        <v>462</v>
      </c>
    </row>
    <row r="7" spans="1:255" ht="12">
      <c r="A7" s="2" t="s">
        <v>463</v>
      </c>
      <c r="B7" s="3" t="s">
        <v>464</v>
      </c>
      <c r="C7" t="s">
        <v>465</v>
      </c>
      <c r="D7" s="4" t="s">
        <v>4</v>
      </c>
      <c r="E7" s="3" t="s">
        <v>466</v>
      </c>
      <c r="F7" t="s">
        <v>86</v>
      </c>
    </row>
    <row r="8" spans="1:255">
      <c r="A8" s="4"/>
      <c r="B8" s="3" t="s">
        <v>467</v>
      </c>
      <c r="C8" t="s">
        <v>88</v>
      </c>
      <c r="D8" s="4" t="s">
        <v>4</v>
      </c>
      <c r="E8" s="3" t="s">
        <v>468</v>
      </c>
      <c r="F8" t="s">
        <v>8</v>
      </c>
    </row>
    <row r="9" spans="1:255">
      <c r="A9" s="4"/>
      <c r="B9" s="3" t="s">
        <v>469</v>
      </c>
      <c r="C9" t="s">
        <v>91</v>
      </c>
      <c r="D9" s="4" t="s">
        <v>4</v>
      </c>
      <c r="E9" s="3" t="s">
        <v>470</v>
      </c>
      <c r="F9" t="s">
        <v>6</v>
      </c>
    </row>
    <row r="10" spans="1:255">
      <c r="A10" s="4"/>
      <c r="B10" s="3" t="s">
        <v>471</v>
      </c>
      <c r="C10" t="s">
        <v>10</v>
      </c>
      <c r="D10" s="4" t="s">
        <v>4</v>
      </c>
      <c r="E10" s="3" t="s">
        <v>472</v>
      </c>
      <c r="F10" s="5" t="s">
        <v>12</v>
      </c>
    </row>
    <row r="13" spans="1:255">
      <c r="A13" s="6" t="s">
        <v>473</v>
      </c>
      <c r="B13" s="6"/>
      <c r="C13" s="6"/>
      <c r="D13" s="6"/>
      <c r="E13" s="6"/>
      <c r="F13" s="6"/>
      <c r="G13" s="6"/>
      <c r="H13" s="6"/>
      <c r="I13" s="6"/>
      <c r="J13" s="6"/>
      <c r="K13" s="6"/>
      <c r="L13" s="6"/>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row>
    <row r="14" spans="1:255" ht="24">
      <c r="A14" s="7" t="s">
        <v>16</v>
      </c>
      <c r="B14" s="12" t="s">
        <v>98</v>
      </c>
      <c r="C14" s="12" t="s">
        <v>99</v>
      </c>
      <c r="D14" s="12" t="s">
        <v>100</v>
      </c>
      <c r="E14" s="12" t="s">
        <v>101</v>
      </c>
      <c r="F14" s="12" t="s">
        <v>102</v>
      </c>
      <c r="G14" s="12" t="s">
        <v>103</v>
      </c>
      <c r="H14" s="12" t="s">
        <v>104</v>
      </c>
      <c r="I14" s="12" t="s">
        <v>105</v>
      </c>
      <c r="J14" s="12" t="s">
        <v>106</v>
      </c>
      <c r="K14" s="12" t="s">
        <v>107</v>
      </c>
      <c r="L14" s="12" t="s">
        <v>108</v>
      </c>
    </row>
    <row r="15" spans="1:255" ht="12">
      <c r="A15" s="8" t="s">
        <v>30</v>
      </c>
      <c r="B15" s="13" t="s">
        <v>31</v>
      </c>
      <c r="C15" s="13" t="s">
        <v>31</v>
      </c>
      <c r="D15" s="13" t="s">
        <v>31</v>
      </c>
      <c r="E15" s="13" t="s">
        <v>31</v>
      </c>
      <c r="F15" s="13" t="s">
        <v>31</v>
      </c>
      <c r="G15" s="13" t="s">
        <v>31</v>
      </c>
      <c r="H15" s="13" t="s">
        <v>31</v>
      </c>
      <c r="I15" s="13" t="s">
        <v>31</v>
      </c>
      <c r="J15" s="13" t="s">
        <v>31</v>
      </c>
      <c r="K15" s="13" t="s">
        <v>31</v>
      </c>
      <c r="L15" s="13" t="s">
        <v>31</v>
      </c>
    </row>
    <row r="16" spans="1:255">
      <c r="A16" s="9" t="s">
        <v>474</v>
      </c>
      <c r="B16" s="4"/>
      <c r="C16" s="4"/>
      <c r="D16" s="4"/>
      <c r="E16" s="4"/>
      <c r="F16" s="4"/>
      <c r="G16" s="4"/>
      <c r="H16" s="4"/>
      <c r="I16" s="4"/>
      <c r="J16" s="4"/>
      <c r="K16" s="4"/>
      <c r="L16" s="4"/>
    </row>
    <row r="17" spans="1:12">
      <c r="A17" s="4" t="s">
        <v>475</v>
      </c>
      <c r="B17" s="18">
        <v>77093</v>
      </c>
      <c r="C17" s="18">
        <v>80095</v>
      </c>
      <c r="D17" s="18">
        <v>93864</v>
      </c>
      <c r="E17" s="18">
        <v>86613</v>
      </c>
      <c r="F17" s="18">
        <v>96600</v>
      </c>
      <c r="G17" s="18">
        <v>112093</v>
      </c>
      <c r="H17" s="18">
        <v>116914</v>
      </c>
      <c r="I17" s="18">
        <v>124556</v>
      </c>
      <c r="J17" s="18">
        <v>153306</v>
      </c>
      <c r="K17" s="18">
        <v>169658</v>
      </c>
      <c r="L17" s="18">
        <v>162560</v>
      </c>
    </row>
    <row r="18" spans="1:12">
      <c r="A18" s="4" t="s">
        <v>476</v>
      </c>
      <c r="B18" s="18">
        <v>40980</v>
      </c>
      <c r="C18" s="18">
        <v>44285</v>
      </c>
      <c r="D18" s="18">
        <v>50337</v>
      </c>
      <c r="E18" s="18">
        <v>49952</v>
      </c>
      <c r="F18" s="18">
        <v>54938</v>
      </c>
      <c r="G18" s="18">
        <v>62420</v>
      </c>
      <c r="H18" s="18">
        <v>60288</v>
      </c>
      <c r="I18" s="18">
        <v>68640</v>
      </c>
      <c r="J18" s="18">
        <v>89307</v>
      </c>
      <c r="K18" s="18">
        <v>95118</v>
      </c>
      <c r="L18" s="18">
        <v>94294</v>
      </c>
    </row>
    <row r="19" spans="1:12">
      <c r="A19" s="4" t="s">
        <v>477</v>
      </c>
      <c r="B19" s="18">
        <v>27016</v>
      </c>
      <c r="C19" s="18">
        <v>31853</v>
      </c>
      <c r="D19" s="18">
        <v>58715</v>
      </c>
      <c r="E19" s="18">
        <v>48492</v>
      </c>
      <c r="F19" s="18">
        <v>44764</v>
      </c>
      <c r="G19" s="18">
        <v>51942</v>
      </c>
      <c r="H19" s="18">
        <v>43678</v>
      </c>
      <c r="I19" s="18">
        <v>40308</v>
      </c>
      <c r="J19" s="18">
        <v>68366</v>
      </c>
      <c r="K19" s="18">
        <v>74200</v>
      </c>
      <c r="L19" s="18">
        <v>72559</v>
      </c>
    </row>
    <row r="20" spans="1:12">
      <c r="A20" s="4" t="s">
        <v>478</v>
      </c>
      <c r="B20" s="18">
        <v>13782</v>
      </c>
      <c r="C20" s="18">
        <v>15314</v>
      </c>
      <c r="D20" s="18">
        <v>15706</v>
      </c>
      <c r="E20" s="18">
        <v>16928</v>
      </c>
      <c r="F20" s="18">
        <v>17733</v>
      </c>
      <c r="G20" s="18">
        <v>21733</v>
      </c>
      <c r="H20" s="18">
        <v>21506</v>
      </c>
      <c r="I20" s="18">
        <v>21418</v>
      </c>
      <c r="J20" s="18">
        <v>28482</v>
      </c>
      <c r="K20" s="18">
        <v>25977</v>
      </c>
      <c r="L20" s="18">
        <v>24257</v>
      </c>
    </row>
    <row r="21" spans="1:12">
      <c r="A21" s="4" t="s">
        <v>479</v>
      </c>
      <c r="B21" s="18">
        <v>12039</v>
      </c>
      <c r="C21" s="18">
        <v>11248</v>
      </c>
      <c r="D21" s="18">
        <v>15093</v>
      </c>
      <c r="E21" s="18">
        <v>13654</v>
      </c>
      <c r="F21" s="18">
        <v>15199</v>
      </c>
      <c r="G21" s="18">
        <v>17407</v>
      </c>
      <c r="H21" s="18">
        <v>17788</v>
      </c>
      <c r="I21" s="18">
        <v>19593</v>
      </c>
      <c r="J21" s="18">
        <v>26356</v>
      </c>
      <c r="K21" s="18">
        <v>29375</v>
      </c>
      <c r="L21" s="18">
        <v>29615</v>
      </c>
    </row>
    <row r="22" spans="1:12">
      <c r="A22" s="9" t="s">
        <v>480</v>
      </c>
      <c r="B22" s="14">
        <v>170910</v>
      </c>
      <c r="C22" s="14">
        <v>182795</v>
      </c>
      <c r="D22" s="14">
        <v>233715</v>
      </c>
      <c r="E22" s="14">
        <v>215639</v>
      </c>
      <c r="F22" s="14">
        <v>229234</v>
      </c>
      <c r="G22" s="14">
        <v>265595</v>
      </c>
      <c r="H22" s="14">
        <v>260174</v>
      </c>
      <c r="I22" s="14">
        <v>274515</v>
      </c>
      <c r="J22" s="14">
        <v>365817</v>
      </c>
      <c r="K22" s="14">
        <v>394328</v>
      </c>
      <c r="L22" s="14">
        <v>383285</v>
      </c>
    </row>
    <row r="23" spans="1:12">
      <c r="A23" s="4"/>
      <c r="B23" s="4"/>
      <c r="C23" s="4"/>
      <c r="D23" s="4"/>
      <c r="E23" s="4"/>
      <c r="F23" s="4"/>
      <c r="G23" s="4"/>
      <c r="H23" s="4"/>
      <c r="I23" s="4"/>
      <c r="J23" s="4"/>
      <c r="K23" s="4"/>
      <c r="L23" s="4"/>
    </row>
    <row r="24" spans="1:12">
      <c r="A24" s="9" t="s">
        <v>481</v>
      </c>
      <c r="B24" s="4"/>
      <c r="C24" s="4"/>
      <c r="D24" s="4"/>
      <c r="E24" s="4"/>
      <c r="F24" s="4"/>
      <c r="G24" s="4"/>
      <c r="H24" s="4"/>
      <c r="I24" s="4"/>
      <c r="J24" s="4"/>
      <c r="K24" s="4"/>
      <c r="L24" s="4"/>
    </row>
    <row r="25" spans="1:12">
      <c r="A25" s="4" t="s">
        <v>475</v>
      </c>
      <c r="B25" s="18">
        <v>24829</v>
      </c>
      <c r="C25" s="18">
        <v>26158</v>
      </c>
      <c r="D25" s="18">
        <v>31186</v>
      </c>
      <c r="E25" s="18">
        <v>28172</v>
      </c>
      <c r="F25" s="18">
        <v>30684</v>
      </c>
      <c r="G25" s="18">
        <v>34864</v>
      </c>
      <c r="H25" s="18">
        <v>35099</v>
      </c>
      <c r="I25" s="18">
        <v>37722</v>
      </c>
      <c r="J25" s="18">
        <v>53382</v>
      </c>
      <c r="K25" s="18">
        <v>62683</v>
      </c>
      <c r="L25" s="18">
        <v>60508</v>
      </c>
    </row>
    <row r="26" spans="1:12">
      <c r="A26" s="4" t="s">
        <v>476</v>
      </c>
      <c r="B26" s="18">
        <v>12767</v>
      </c>
      <c r="C26" s="18">
        <v>14434</v>
      </c>
      <c r="D26" s="18">
        <v>16527</v>
      </c>
      <c r="E26" s="18">
        <v>15348</v>
      </c>
      <c r="F26" s="18">
        <v>16514</v>
      </c>
      <c r="G26" s="18">
        <v>19955</v>
      </c>
      <c r="H26" s="18">
        <v>19195</v>
      </c>
      <c r="I26" s="18">
        <v>22170</v>
      </c>
      <c r="J26" s="18">
        <v>32505</v>
      </c>
      <c r="K26" s="18">
        <v>35233</v>
      </c>
      <c r="L26" s="18">
        <v>36098</v>
      </c>
    </row>
    <row r="27" spans="1:12">
      <c r="A27" s="4" t="s">
        <v>477</v>
      </c>
      <c r="B27" s="18">
        <v>8499</v>
      </c>
      <c r="C27" s="18">
        <v>11039</v>
      </c>
      <c r="D27" s="18">
        <v>23002</v>
      </c>
      <c r="E27" s="18">
        <v>18835</v>
      </c>
      <c r="F27" s="18">
        <v>17032</v>
      </c>
      <c r="G27" s="18">
        <v>19742</v>
      </c>
      <c r="H27" s="18">
        <v>16232</v>
      </c>
      <c r="I27" s="18">
        <v>15261</v>
      </c>
      <c r="J27" s="18">
        <v>28504</v>
      </c>
      <c r="K27" s="18">
        <v>31153</v>
      </c>
      <c r="L27" s="18">
        <v>30328</v>
      </c>
    </row>
    <row r="28" spans="1:12">
      <c r="A28" s="4" t="s">
        <v>478</v>
      </c>
      <c r="B28" s="18">
        <v>6668</v>
      </c>
      <c r="C28" s="18">
        <v>6904</v>
      </c>
      <c r="D28" s="18">
        <v>7617</v>
      </c>
      <c r="E28" s="18">
        <v>7165</v>
      </c>
      <c r="F28" s="18">
        <v>8097</v>
      </c>
      <c r="G28" s="18">
        <v>9500</v>
      </c>
      <c r="H28" s="18">
        <v>9369</v>
      </c>
      <c r="I28" s="18">
        <v>9279</v>
      </c>
      <c r="J28" s="18">
        <v>12798</v>
      </c>
      <c r="K28" s="18">
        <v>12257</v>
      </c>
      <c r="L28" s="18">
        <v>11888</v>
      </c>
    </row>
    <row r="29" spans="1:12">
      <c r="A29" s="4" t="s">
        <v>479</v>
      </c>
      <c r="B29" s="18">
        <v>3762</v>
      </c>
      <c r="C29" s="18">
        <v>3674</v>
      </c>
      <c r="D29" s="18">
        <v>5518</v>
      </c>
      <c r="E29" s="18">
        <v>4781</v>
      </c>
      <c r="F29" s="18">
        <v>5304</v>
      </c>
      <c r="G29" s="18">
        <v>6181</v>
      </c>
      <c r="H29" s="18">
        <v>6055</v>
      </c>
      <c r="I29" s="18">
        <v>6808</v>
      </c>
      <c r="J29" s="18">
        <v>9817</v>
      </c>
      <c r="K29" s="18">
        <v>11569</v>
      </c>
      <c r="L29" s="18">
        <v>12066</v>
      </c>
    </row>
    <row r="30" spans="1:12">
      <c r="A30" s="4" t="s">
        <v>482</v>
      </c>
      <c r="B30" s="18">
        <v>-4475</v>
      </c>
      <c r="C30" s="18">
        <v>-6041</v>
      </c>
      <c r="D30" s="18">
        <v>-8067</v>
      </c>
      <c r="E30" s="18">
        <v>-10045</v>
      </c>
      <c r="F30" s="18">
        <v>-11581</v>
      </c>
      <c r="G30" s="18">
        <v>-14236</v>
      </c>
      <c r="H30" s="18">
        <v>-16217</v>
      </c>
      <c r="I30" s="18">
        <v>-18752</v>
      </c>
      <c r="J30" s="18">
        <v>-21914</v>
      </c>
      <c r="K30" s="18">
        <v>-26251</v>
      </c>
      <c r="L30" s="18">
        <v>-29915</v>
      </c>
    </row>
    <row r="31" spans="1:12">
      <c r="A31" s="4" t="s">
        <v>483</v>
      </c>
      <c r="B31" s="18">
        <v>-3051</v>
      </c>
      <c r="C31" s="18">
        <v>-3665</v>
      </c>
      <c r="D31" s="18">
        <v>-4553</v>
      </c>
      <c r="E31" s="18">
        <v>-4232</v>
      </c>
      <c r="F31" s="18">
        <v>-4706</v>
      </c>
      <c r="G31" s="18">
        <v>-5108</v>
      </c>
      <c r="H31" s="18">
        <v>-5803</v>
      </c>
      <c r="I31" s="18">
        <v>-6200</v>
      </c>
      <c r="J31" s="18">
        <v>-6143</v>
      </c>
      <c r="K31" s="18">
        <v>-7207</v>
      </c>
      <c r="L31" s="18">
        <v>-6672</v>
      </c>
    </row>
    <row r="32" spans="1:12">
      <c r="A32" s="9" t="s">
        <v>484</v>
      </c>
      <c r="B32" s="14">
        <v>48999</v>
      </c>
      <c r="C32" s="14">
        <v>52503</v>
      </c>
      <c r="D32" s="14">
        <v>71230</v>
      </c>
      <c r="E32" s="14">
        <v>60024</v>
      </c>
      <c r="F32" s="14">
        <v>61344</v>
      </c>
      <c r="G32" s="14">
        <v>70898</v>
      </c>
      <c r="H32" s="14">
        <v>63930</v>
      </c>
      <c r="I32" s="14">
        <v>66288</v>
      </c>
      <c r="J32" s="14">
        <v>108949</v>
      </c>
      <c r="K32" s="14">
        <v>119437</v>
      </c>
      <c r="L32" s="14">
        <v>114301</v>
      </c>
    </row>
    <row r="33" spans="1:255">
      <c r="A33" s="4"/>
      <c r="B33" s="4"/>
      <c r="C33" s="4"/>
      <c r="D33" s="4"/>
      <c r="E33" s="4"/>
      <c r="F33" s="4"/>
      <c r="G33" s="4"/>
      <c r="H33" s="4"/>
      <c r="I33" s="4"/>
      <c r="J33" s="4"/>
      <c r="K33" s="4"/>
      <c r="L33" s="4"/>
    </row>
    <row r="34" spans="1:255">
      <c r="A34" s="9" t="s">
        <v>485</v>
      </c>
      <c r="B34" s="4"/>
      <c r="C34" s="4"/>
      <c r="D34" s="4"/>
      <c r="E34" s="4"/>
      <c r="F34" s="4"/>
      <c r="G34" s="4"/>
      <c r="H34" s="4"/>
      <c r="I34" s="4"/>
      <c r="J34" s="4"/>
      <c r="K34" s="4"/>
      <c r="L34" s="4"/>
    </row>
    <row r="35" spans="1:255" ht="12">
      <c r="A35" s="4" t="s">
        <v>475</v>
      </c>
      <c r="B35" s="18">
        <v>5653</v>
      </c>
      <c r="C35" s="18" t="s">
        <v>35</v>
      </c>
      <c r="D35" s="18" t="s">
        <v>35</v>
      </c>
      <c r="E35" s="18" t="s">
        <v>35</v>
      </c>
      <c r="F35" s="18" t="s">
        <v>35</v>
      </c>
      <c r="G35" s="18" t="s">
        <v>35</v>
      </c>
      <c r="H35" s="18" t="s">
        <v>35</v>
      </c>
      <c r="I35" s="18" t="s">
        <v>35</v>
      </c>
      <c r="J35" s="18" t="s">
        <v>35</v>
      </c>
      <c r="K35" s="18" t="s">
        <v>35</v>
      </c>
      <c r="L35" s="18" t="s">
        <v>35</v>
      </c>
    </row>
    <row r="36" spans="1:255" ht="12">
      <c r="A36" s="4" t="s">
        <v>476</v>
      </c>
      <c r="B36" s="18">
        <v>3134</v>
      </c>
      <c r="C36" s="18" t="s">
        <v>35</v>
      </c>
      <c r="D36" s="18" t="s">
        <v>35</v>
      </c>
      <c r="E36" s="18" t="s">
        <v>35</v>
      </c>
      <c r="F36" s="18" t="s">
        <v>35</v>
      </c>
      <c r="G36" s="18" t="s">
        <v>35</v>
      </c>
      <c r="H36" s="18" t="s">
        <v>35</v>
      </c>
      <c r="I36" s="18" t="s">
        <v>35</v>
      </c>
      <c r="J36" s="18" t="s">
        <v>35</v>
      </c>
      <c r="K36" s="18" t="s">
        <v>35</v>
      </c>
      <c r="L36" s="18" t="s">
        <v>35</v>
      </c>
    </row>
    <row r="37" spans="1:255" ht="12">
      <c r="A37" s="4" t="s">
        <v>477</v>
      </c>
      <c r="B37" s="18">
        <v>2943</v>
      </c>
      <c r="C37" s="18" t="s">
        <v>35</v>
      </c>
      <c r="D37" s="18" t="s">
        <v>35</v>
      </c>
      <c r="E37" s="18" t="s">
        <v>35</v>
      </c>
      <c r="F37" s="18" t="s">
        <v>35</v>
      </c>
      <c r="G37" s="18" t="s">
        <v>35</v>
      </c>
      <c r="H37" s="18" t="s">
        <v>35</v>
      </c>
      <c r="I37" s="18" t="s">
        <v>35</v>
      </c>
      <c r="J37" s="18" t="s">
        <v>35</v>
      </c>
      <c r="K37" s="18" t="s">
        <v>35</v>
      </c>
      <c r="L37" s="18" t="s">
        <v>35</v>
      </c>
    </row>
    <row r="38" spans="1:255" ht="12">
      <c r="A38" s="4" t="s">
        <v>478</v>
      </c>
      <c r="B38" s="18">
        <v>2932</v>
      </c>
      <c r="C38" s="18" t="s">
        <v>35</v>
      </c>
      <c r="D38" s="18" t="s">
        <v>35</v>
      </c>
      <c r="E38" s="18" t="s">
        <v>35</v>
      </c>
      <c r="F38" s="18" t="s">
        <v>35</v>
      </c>
      <c r="G38" s="18" t="s">
        <v>35</v>
      </c>
      <c r="H38" s="18" t="s">
        <v>35</v>
      </c>
      <c r="I38" s="18" t="s">
        <v>35</v>
      </c>
      <c r="J38" s="18" t="s">
        <v>35</v>
      </c>
      <c r="K38" s="18" t="s">
        <v>35</v>
      </c>
      <c r="L38" s="18" t="s">
        <v>35</v>
      </c>
    </row>
    <row r="39" spans="1:255" ht="12">
      <c r="A39" s="4" t="s">
        <v>479</v>
      </c>
      <c r="B39" s="18">
        <v>923</v>
      </c>
      <c r="C39" s="18" t="s">
        <v>35</v>
      </c>
      <c r="D39" s="18" t="s">
        <v>35</v>
      </c>
      <c r="E39" s="18" t="s">
        <v>35</v>
      </c>
      <c r="F39" s="18" t="s">
        <v>35</v>
      </c>
      <c r="G39" s="18" t="s">
        <v>35</v>
      </c>
      <c r="H39" s="18" t="s">
        <v>35</v>
      </c>
      <c r="I39" s="18" t="s">
        <v>35</v>
      </c>
      <c r="J39" s="18" t="s">
        <v>35</v>
      </c>
      <c r="K39" s="18" t="s">
        <v>35</v>
      </c>
      <c r="L39" s="18" t="s">
        <v>35</v>
      </c>
    </row>
    <row r="40" spans="1:255" ht="12">
      <c r="A40" s="4" t="s">
        <v>486</v>
      </c>
      <c r="B40" s="18">
        <v>3329</v>
      </c>
      <c r="C40" s="18" t="s">
        <v>35</v>
      </c>
      <c r="D40" s="18" t="s">
        <v>35</v>
      </c>
      <c r="E40" s="18" t="s">
        <v>35</v>
      </c>
      <c r="F40" s="18" t="s">
        <v>35</v>
      </c>
      <c r="G40" s="18" t="s">
        <v>35</v>
      </c>
      <c r="H40" s="18" t="s">
        <v>35</v>
      </c>
      <c r="I40" s="18" t="s">
        <v>35</v>
      </c>
      <c r="J40" s="18" t="s">
        <v>35</v>
      </c>
      <c r="K40" s="18" t="s">
        <v>35</v>
      </c>
      <c r="L40" s="18" t="s">
        <v>35</v>
      </c>
    </row>
    <row r="41" spans="1:255" ht="12">
      <c r="A41" s="4" t="s">
        <v>487</v>
      </c>
      <c r="B41" s="18">
        <v>188086</v>
      </c>
      <c r="C41" s="18" t="s">
        <v>35</v>
      </c>
      <c r="D41" s="18" t="s">
        <v>35</v>
      </c>
      <c r="E41" s="18" t="s">
        <v>35</v>
      </c>
      <c r="F41" s="18" t="s">
        <v>35</v>
      </c>
      <c r="G41" s="18" t="s">
        <v>35</v>
      </c>
      <c r="H41" s="18" t="s">
        <v>35</v>
      </c>
      <c r="I41" s="18" t="s">
        <v>35</v>
      </c>
      <c r="J41" s="18" t="s">
        <v>35</v>
      </c>
      <c r="K41" s="18" t="s">
        <v>35</v>
      </c>
      <c r="L41" s="18" t="s">
        <v>35</v>
      </c>
    </row>
    <row r="42" spans="1:255" ht="12">
      <c r="A42" s="9" t="s">
        <v>461</v>
      </c>
      <c r="B42" s="14">
        <v>207000</v>
      </c>
      <c r="C42" s="14" t="s">
        <v>35</v>
      </c>
      <c r="D42" s="14" t="s">
        <v>35</v>
      </c>
      <c r="E42" s="14" t="s">
        <v>35</v>
      </c>
      <c r="F42" s="14" t="s">
        <v>35</v>
      </c>
      <c r="G42" s="14" t="s">
        <v>35</v>
      </c>
      <c r="H42" s="14" t="s">
        <v>35</v>
      </c>
      <c r="I42" s="14" t="s">
        <v>35</v>
      </c>
      <c r="J42" s="14" t="s">
        <v>35</v>
      </c>
      <c r="K42" s="14" t="s">
        <v>35</v>
      </c>
      <c r="L42" s="14" t="s">
        <v>35</v>
      </c>
    </row>
    <row r="43" spans="1:255">
      <c r="A43" s="4"/>
      <c r="B43" s="4"/>
      <c r="C43" s="4"/>
      <c r="D43" s="4"/>
      <c r="E43" s="4"/>
      <c r="F43" s="4"/>
      <c r="G43" s="4"/>
      <c r="H43" s="4"/>
      <c r="I43" s="4"/>
      <c r="J43" s="4"/>
      <c r="K43" s="4"/>
      <c r="L43" s="4"/>
    </row>
    <row r="44" spans="1:255">
      <c r="A44" s="4"/>
      <c r="B44" s="4" t="s">
        <v>42</v>
      </c>
      <c r="C44" s="4" t="s">
        <v>42</v>
      </c>
      <c r="D44" s="4" t="s">
        <v>42</v>
      </c>
      <c r="E44" s="4" t="s">
        <v>42</v>
      </c>
      <c r="F44" s="4" t="s">
        <v>42</v>
      </c>
      <c r="G44" s="4" t="s">
        <v>42</v>
      </c>
      <c r="H44" s="4" t="s">
        <v>42</v>
      </c>
      <c r="I44" s="4" t="s">
        <v>42</v>
      </c>
      <c r="J44" s="4" t="s">
        <v>42</v>
      </c>
      <c r="K44" s="4" t="s">
        <v>42</v>
      </c>
      <c r="L44" s="4" t="s">
        <v>42</v>
      </c>
    </row>
    <row r="45" spans="1:255">
      <c r="A45" s="4" t="s">
        <v>191</v>
      </c>
      <c r="B45" s="26">
        <v>42305</v>
      </c>
      <c r="C45" s="26">
        <v>42669</v>
      </c>
      <c r="D45" s="26">
        <v>43042</v>
      </c>
      <c r="E45" s="26">
        <v>43409</v>
      </c>
      <c r="F45" s="26">
        <v>43769</v>
      </c>
      <c r="G45" s="26">
        <v>44134</v>
      </c>
      <c r="H45" s="26">
        <v>44498</v>
      </c>
      <c r="I45" s="26">
        <v>44862</v>
      </c>
      <c r="J45" s="26">
        <v>45233</v>
      </c>
      <c r="K45" s="26">
        <v>45233</v>
      </c>
      <c r="L45" s="26">
        <v>45233</v>
      </c>
    </row>
    <row r="46" spans="1:255">
      <c r="A46" s="11"/>
      <c r="B46" s="11"/>
      <c r="C46" s="11"/>
      <c r="D46" s="11"/>
      <c r="E46" s="11"/>
      <c r="F46" s="11"/>
      <c r="G46" s="11"/>
      <c r="H46" s="11"/>
      <c r="I46" s="11"/>
      <c r="J46" s="11"/>
      <c r="K46" s="11"/>
      <c r="L46" s="11"/>
    </row>
    <row r="48" spans="1:255">
      <c r="A48" s="6" t="s">
        <v>488</v>
      </c>
      <c r="B48" s="6"/>
      <c r="C48" s="6"/>
      <c r="D48" s="6"/>
      <c r="E48" s="6"/>
      <c r="F48" s="6"/>
      <c r="G48" s="6"/>
      <c r="H48" s="6"/>
      <c r="I48" s="6"/>
      <c r="J48" s="6"/>
      <c r="K48" s="6"/>
      <c r="L48" s="6"/>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7"/>
      <c r="DU48" s="27"/>
      <c r="DV48" s="27"/>
      <c r="DW48" s="27"/>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c r="FA48" s="27"/>
      <c r="FB48" s="27"/>
      <c r="FC48" s="27"/>
      <c r="FD48" s="27"/>
      <c r="FE48" s="27"/>
      <c r="FF48" s="27"/>
      <c r="FG48" s="27"/>
      <c r="FH48" s="27"/>
      <c r="FI48" s="27"/>
      <c r="FJ48" s="27"/>
      <c r="FK48" s="27"/>
      <c r="FL48" s="27"/>
      <c r="FM48" s="27"/>
      <c r="FN48" s="27"/>
      <c r="FO48" s="27"/>
      <c r="FP48" s="27"/>
      <c r="FQ48" s="27"/>
      <c r="FR48" s="27"/>
      <c r="FS48" s="27"/>
      <c r="FT48" s="27"/>
      <c r="FU48" s="27"/>
      <c r="FV48" s="27"/>
      <c r="FW48" s="27"/>
      <c r="FX48" s="27"/>
      <c r="FY48" s="27"/>
      <c r="FZ48" s="27"/>
      <c r="GA48" s="27"/>
      <c r="GB48" s="27"/>
      <c r="GC48" s="27"/>
      <c r="GD48" s="27"/>
      <c r="GE48" s="27"/>
      <c r="GF48" s="27"/>
      <c r="GG48" s="27"/>
      <c r="GH48" s="27"/>
      <c r="GI48" s="27"/>
      <c r="GJ48" s="27"/>
      <c r="GK48" s="27"/>
      <c r="GL48" s="27"/>
      <c r="GM48" s="27"/>
      <c r="GN48" s="27"/>
      <c r="GO48" s="27"/>
      <c r="GP48" s="27"/>
      <c r="GQ48" s="27"/>
      <c r="GR48" s="27"/>
      <c r="GS48" s="27"/>
      <c r="GT48" s="27"/>
      <c r="GU48" s="27"/>
      <c r="GV48" s="27"/>
      <c r="GW48" s="27"/>
      <c r="GX48" s="27"/>
      <c r="GY48" s="27"/>
      <c r="GZ48" s="27"/>
      <c r="HA48" s="27"/>
      <c r="HB48" s="27"/>
      <c r="HC48" s="27"/>
      <c r="HD48" s="27"/>
      <c r="HE48" s="27"/>
      <c r="HF48" s="27"/>
      <c r="HG48" s="27"/>
      <c r="HH48" s="27"/>
      <c r="HI48" s="27"/>
      <c r="HJ48" s="27"/>
      <c r="HK48" s="27"/>
      <c r="HL48" s="27"/>
      <c r="HM48" s="27"/>
      <c r="HN48" s="27"/>
      <c r="HO48" s="27"/>
      <c r="HP48" s="27"/>
      <c r="HQ48" s="27"/>
      <c r="HR48" s="27"/>
      <c r="HS48" s="27"/>
      <c r="HT48" s="27"/>
      <c r="HU48" s="27"/>
      <c r="HV48" s="27"/>
      <c r="HW48" s="27"/>
      <c r="HX48" s="27"/>
      <c r="HY48" s="27"/>
      <c r="HZ48" s="27"/>
      <c r="IA48" s="27"/>
      <c r="IB48" s="27"/>
      <c r="IC48" s="27"/>
      <c r="ID48" s="27"/>
      <c r="IE48" s="27"/>
      <c r="IF48" s="27"/>
      <c r="IG48" s="27"/>
      <c r="IH48" s="27"/>
      <c r="II48" s="27"/>
      <c r="IJ48" s="27"/>
      <c r="IK48" s="27"/>
      <c r="IL48" s="27"/>
      <c r="IM48" s="27"/>
      <c r="IN48" s="27"/>
      <c r="IO48" s="27"/>
      <c r="IP48" s="27"/>
      <c r="IQ48" s="27"/>
      <c r="IR48" s="27"/>
      <c r="IS48" s="27"/>
      <c r="IT48" s="27"/>
      <c r="IU48" s="27"/>
    </row>
    <row r="49" spans="1:12" ht="24">
      <c r="A49" s="7" t="s">
        <v>16</v>
      </c>
      <c r="B49" s="12" t="s">
        <v>98</v>
      </c>
      <c r="C49" s="12" t="s">
        <v>99</v>
      </c>
      <c r="D49" s="12" t="s">
        <v>100</v>
      </c>
      <c r="E49" s="12" t="s">
        <v>101</v>
      </c>
      <c r="F49" s="12" t="s">
        <v>102</v>
      </c>
      <c r="G49" s="12" t="s">
        <v>103</v>
      </c>
      <c r="H49" s="12" t="s">
        <v>104</v>
      </c>
      <c r="I49" s="12" t="s">
        <v>105</v>
      </c>
      <c r="J49" s="12" t="s">
        <v>106</v>
      </c>
      <c r="K49" s="12" t="s">
        <v>107</v>
      </c>
      <c r="L49" s="12" t="s">
        <v>108</v>
      </c>
    </row>
    <row r="50" spans="1:12" ht="12">
      <c r="A50" s="8" t="s">
        <v>30</v>
      </c>
      <c r="B50" s="13" t="s">
        <v>31</v>
      </c>
      <c r="C50" s="13" t="s">
        <v>31</v>
      </c>
      <c r="D50" s="13" t="s">
        <v>31</v>
      </c>
      <c r="E50" s="13" t="s">
        <v>31</v>
      </c>
      <c r="F50" s="13" t="s">
        <v>31</v>
      </c>
      <c r="G50" s="13" t="s">
        <v>31</v>
      </c>
      <c r="H50" s="13" t="s">
        <v>31</v>
      </c>
      <c r="I50" s="13" t="s">
        <v>31</v>
      </c>
      <c r="J50" s="13" t="s">
        <v>31</v>
      </c>
      <c r="K50" s="13" t="s">
        <v>31</v>
      </c>
      <c r="L50" s="13" t="s">
        <v>31</v>
      </c>
    </row>
    <row r="51" spans="1:12">
      <c r="A51" s="9" t="s">
        <v>474</v>
      </c>
      <c r="B51" s="4"/>
      <c r="C51" s="4"/>
      <c r="D51" s="4"/>
      <c r="E51" s="4"/>
      <c r="F51" s="4"/>
      <c r="G51" s="4"/>
      <c r="H51" s="4"/>
      <c r="I51" s="4"/>
      <c r="J51" s="4"/>
      <c r="K51" s="4"/>
      <c r="L51" s="4"/>
    </row>
    <row r="52" spans="1:12">
      <c r="A52" s="4" t="s">
        <v>477</v>
      </c>
      <c r="B52" s="18">
        <v>25946</v>
      </c>
      <c r="C52" s="18">
        <v>30638</v>
      </c>
      <c r="D52" s="18">
        <v>58715</v>
      </c>
      <c r="E52" s="18">
        <v>48492</v>
      </c>
      <c r="F52" s="18">
        <v>44764</v>
      </c>
      <c r="G52" s="18">
        <v>51942</v>
      </c>
      <c r="H52" s="18">
        <v>43678</v>
      </c>
      <c r="I52" s="18">
        <v>40308</v>
      </c>
      <c r="J52" s="18">
        <v>68366</v>
      </c>
      <c r="K52" s="18">
        <v>74200</v>
      </c>
      <c r="L52" s="18">
        <v>72559</v>
      </c>
    </row>
    <row r="53" spans="1:12">
      <c r="A53" s="4" t="s">
        <v>489</v>
      </c>
      <c r="B53" s="18">
        <v>66197</v>
      </c>
      <c r="C53" s="18">
        <v>68909</v>
      </c>
      <c r="D53" s="18">
        <v>81732</v>
      </c>
      <c r="E53" s="18">
        <v>75667</v>
      </c>
      <c r="F53" s="18">
        <v>84339</v>
      </c>
      <c r="G53" s="18">
        <v>98061</v>
      </c>
      <c r="H53" s="18">
        <v>102266</v>
      </c>
      <c r="I53" s="18">
        <v>109197</v>
      </c>
      <c r="J53" s="18">
        <v>133803</v>
      </c>
      <c r="K53" s="18">
        <v>147859</v>
      </c>
      <c r="L53" s="18">
        <v>138573</v>
      </c>
    </row>
    <row r="54" spans="1:12">
      <c r="A54" s="4" t="s">
        <v>490</v>
      </c>
      <c r="B54" s="18">
        <v>78767</v>
      </c>
      <c r="C54" s="18">
        <v>83248</v>
      </c>
      <c r="D54" s="18">
        <v>93268</v>
      </c>
      <c r="E54" s="18">
        <v>91480</v>
      </c>
      <c r="F54" s="18">
        <v>100131</v>
      </c>
      <c r="G54" s="18">
        <v>115592</v>
      </c>
      <c r="H54" s="18">
        <v>114230</v>
      </c>
      <c r="I54" s="18">
        <v>125010</v>
      </c>
      <c r="J54" s="18">
        <v>163648</v>
      </c>
      <c r="K54" s="18">
        <v>172269</v>
      </c>
      <c r="L54" s="18">
        <v>172153</v>
      </c>
    </row>
    <row r="55" spans="1:12">
      <c r="A55" s="9" t="s">
        <v>480</v>
      </c>
      <c r="B55" s="14">
        <v>170910</v>
      </c>
      <c r="C55" s="14">
        <v>182795</v>
      </c>
      <c r="D55" s="14">
        <v>233715</v>
      </c>
      <c r="E55" s="14">
        <v>215639</v>
      </c>
      <c r="F55" s="14">
        <v>229234</v>
      </c>
      <c r="G55" s="14">
        <v>265595</v>
      </c>
      <c r="H55" s="14">
        <v>260174</v>
      </c>
      <c r="I55" s="14">
        <v>274515</v>
      </c>
      <c r="J55" s="14">
        <v>365817</v>
      </c>
      <c r="K55" s="14">
        <v>394328</v>
      </c>
      <c r="L55" s="14">
        <v>383285</v>
      </c>
    </row>
    <row r="56" spans="1:12">
      <c r="A56" s="4"/>
      <c r="B56" s="4"/>
      <c r="C56" s="4"/>
      <c r="D56" s="4"/>
      <c r="E56" s="4"/>
      <c r="F56" s="4"/>
      <c r="G56" s="4"/>
      <c r="H56" s="4"/>
      <c r="I56" s="4"/>
      <c r="J56" s="4"/>
      <c r="K56" s="4"/>
      <c r="L56" s="4"/>
    </row>
    <row r="57" spans="1:12">
      <c r="A57" s="9" t="s">
        <v>485</v>
      </c>
      <c r="B57" s="4"/>
      <c r="C57" s="4"/>
      <c r="D57" s="4"/>
      <c r="E57" s="4"/>
      <c r="F57" s="4"/>
      <c r="G57" s="4"/>
      <c r="H57" s="4"/>
      <c r="I57" s="4"/>
      <c r="J57" s="4"/>
      <c r="K57" s="4"/>
      <c r="L57" s="4"/>
    </row>
    <row r="58" spans="1:12">
      <c r="A58" s="4" t="s">
        <v>477</v>
      </c>
      <c r="B58" s="18">
        <v>7403</v>
      </c>
      <c r="C58" s="18">
        <v>9477</v>
      </c>
      <c r="D58" s="18">
        <v>8722</v>
      </c>
      <c r="E58" s="18">
        <v>7875</v>
      </c>
      <c r="F58" s="18">
        <v>10211</v>
      </c>
      <c r="G58" s="18">
        <v>13268</v>
      </c>
      <c r="H58" s="18">
        <v>9064</v>
      </c>
      <c r="I58" s="18">
        <v>7256</v>
      </c>
      <c r="J58" s="18">
        <v>7521</v>
      </c>
      <c r="K58" s="18">
        <v>7260</v>
      </c>
      <c r="L58" s="18">
        <v>5778</v>
      </c>
    </row>
    <row r="59" spans="1:12">
      <c r="A59" s="4" t="s">
        <v>489</v>
      </c>
      <c r="B59" s="18">
        <v>7399</v>
      </c>
      <c r="C59" s="18">
        <v>9108</v>
      </c>
      <c r="D59" s="18">
        <v>12022</v>
      </c>
      <c r="E59" s="18">
        <v>16364</v>
      </c>
      <c r="F59" s="18">
        <v>20637</v>
      </c>
      <c r="G59" s="18">
        <v>23963</v>
      </c>
      <c r="H59" s="18">
        <v>24711</v>
      </c>
      <c r="I59" s="18">
        <v>25890</v>
      </c>
      <c r="J59" s="18">
        <v>28203</v>
      </c>
      <c r="K59" s="18">
        <v>31119</v>
      </c>
      <c r="L59" s="18">
        <v>33276</v>
      </c>
    </row>
    <row r="60" spans="1:12">
      <c r="A60" s="4" t="s">
        <v>490</v>
      </c>
      <c r="B60" s="18">
        <v>2786</v>
      </c>
      <c r="C60" s="18">
        <v>2917</v>
      </c>
      <c r="D60" s="18">
        <v>3040</v>
      </c>
      <c r="E60" s="18">
        <v>2771</v>
      </c>
      <c r="F60" s="18">
        <v>2935</v>
      </c>
      <c r="G60" s="18">
        <v>4073</v>
      </c>
      <c r="H60" s="18">
        <v>3603</v>
      </c>
      <c r="I60" s="18">
        <v>3620</v>
      </c>
      <c r="J60" s="18">
        <v>3716</v>
      </c>
      <c r="K60" s="18">
        <v>3738</v>
      </c>
      <c r="L60" s="18">
        <v>4661</v>
      </c>
    </row>
    <row r="61" spans="1:12">
      <c r="A61" s="9" t="s">
        <v>461</v>
      </c>
      <c r="B61" s="14">
        <v>17588</v>
      </c>
      <c r="C61" s="14">
        <v>21502</v>
      </c>
      <c r="D61" s="14">
        <v>23784</v>
      </c>
      <c r="E61" s="14">
        <v>27010</v>
      </c>
      <c r="F61" s="14">
        <v>33783</v>
      </c>
      <c r="G61" s="14">
        <v>41304</v>
      </c>
      <c r="H61" s="14">
        <v>37378</v>
      </c>
      <c r="I61" s="14">
        <v>36766</v>
      </c>
      <c r="J61" s="14">
        <v>39440</v>
      </c>
      <c r="K61" s="14">
        <v>42117</v>
      </c>
      <c r="L61" s="14">
        <v>43715</v>
      </c>
    </row>
    <row r="62" spans="1:12">
      <c r="A62" s="4"/>
      <c r="B62" s="4"/>
      <c r="C62" s="4"/>
      <c r="D62" s="4"/>
      <c r="E62" s="4"/>
      <c r="F62" s="4"/>
      <c r="G62" s="4"/>
      <c r="H62" s="4"/>
      <c r="I62" s="4"/>
      <c r="J62" s="4"/>
      <c r="K62" s="4"/>
      <c r="L62" s="4"/>
    </row>
    <row r="63" spans="1:12">
      <c r="A63" s="4"/>
      <c r="B63" s="4" t="s">
        <v>42</v>
      </c>
      <c r="C63" s="4" t="s">
        <v>42</v>
      </c>
      <c r="D63" s="4" t="s">
        <v>42</v>
      </c>
      <c r="E63" s="4" t="s">
        <v>42</v>
      </c>
      <c r="F63" s="4" t="s">
        <v>42</v>
      </c>
      <c r="G63" s="4" t="s">
        <v>42</v>
      </c>
      <c r="H63" s="4" t="s">
        <v>42</v>
      </c>
      <c r="I63" s="4" t="s">
        <v>42</v>
      </c>
      <c r="J63" s="4" t="s">
        <v>42</v>
      </c>
      <c r="K63" s="4" t="s">
        <v>42</v>
      </c>
      <c r="L63" s="4" t="s">
        <v>42</v>
      </c>
    </row>
    <row r="64" spans="1:12">
      <c r="A64" s="4" t="s">
        <v>191</v>
      </c>
      <c r="B64" s="26">
        <v>42305</v>
      </c>
      <c r="C64" s="26">
        <v>42669</v>
      </c>
      <c r="D64" s="26">
        <v>43042</v>
      </c>
      <c r="E64" s="26">
        <v>43409</v>
      </c>
      <c r="F64" s="26">
        <v>43769</v>
      </c>
      <c r="G64" s="26">
        <v>44134</v>
      </c>
      <c r="H64" s="26">
        <v>44498</v>
      </c>
      <c r="I64" s="26">
        <v>44862</v>
      </c>
      <c r="J64" s="26">
        <v>45233</v>
      </c>
      <c r="K64" s="26">
        <v>45233</v>
      </c>
      <c r="L64" s="26">
        <v>45233</v>
      </c>
    </row>
    <row r="65" spans="1:12">
      <c r="A65" s="11"/>
      <c r="B65" s="11"/>
      <c r="C65" s="11"/>
      <c r="D65" s="11"/>
      <c r="E65" s="11"/>
      <c r="F65" s="11"/>
      <c r="G65" s="11"/>
      <c r="H65" s="11"/>
      <c r="I65" s="11"/>
      <c r="J65" s="11"/>
      <c r="K65" s="11"/>
      <c r="L65" s="11"/>
    </row>
    <row r="66" spans="1:12">
      <c r="A66" s="25" t="s">
        <v>80</v>
      </c>
    </row>
  </sheetData>
  <phoneticPr fontId="0" type="noConversion"/>
  <pageMargins left="0.2" right="0.2" top="0.5" bottom="0.5" header="0.5" footer="0.5"/>
  <pageSetup fitToWidth="0" fitToHeight="0"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11</vt:i4>
      </vt:variant>
      <vt:variant>
        <vt:lpstr>具名範圍</vt:lpstr>
      </vt:variant>
      <vt:variant>
        <vt:i4>5</vt:i4>
      </vt:variant>
    </vt:vector>
  </HeadingPairs>
  <TitlesOfParts>
    <vt:vector size="16" baseType="lpstr">
      <vt:lpstr>Key Stats</vt:lpstr>
      <vt:lpstr>IS</vt:lpstr>
      <vt:lpstr>BS</vt:lpstr>
      <vt:lpstr>CF</vt:lpstr>
      <vt:lpstr>beta</vt:lpstr>
      <vt:lpstr>WACC</vt:lpstr>
      <vt:lpstr>Segment_Q</vt:lpstr>
      <vt:lpstr>Segment_A</vt:lpstr>
      <vt:lpstr>DCF</vt:lpstr>
      <vt:lpstr>Multiple Analysis</vt:lpstr>
      <vt:lpstr>Geo_Segments</vt:lpstr>
      <vt:lpstr>BS!Print_Titles</vt:lpstr>
      <vt:lpstr>CF!Print_Titles</vt:lpstr>
      <vt:lpstr>Geo_Segments!Print_Titles</vt:lpstr>
      <vt:lpstr>IS!Print_Titles</vt:lpstr>
      <vt:lpstr>'Key Stats'!Print_Titles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2004-07-20T21:40:42Z</dcterms:created>
  <dcterms:modified xsi:type="dcterms:W3CDTF">2024-03-17T20:47:50Z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ies>
</file>